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8_{3E867EA5-FFCF-439D-87D5-BC1D320167D4}" xr6:coauthVersionLast="47" xr6:coauthVersionMax="47" xr10:uidLastSave="{00000000-0000-0000-0000-000000000000}"/>
  <bookViews>
    <workbookView xWindow="-108" yWindow="-108" windowWidth="23256" windowHeight="12456" tabRatio="699" firstSheet="11" activeTab="16" xr2:uid="{00000000-000D-0000-FFFF-FFFF00000000}"/>
  </bookViews>
  <sheets>
    <sheet name="Sheet" sheetId="1" r:id="rId1"/>
    <sheet name="Instructions" sheetId="2" r:id="rId2"/>
    <sheet name="VLOOKUP_FALSE" sheetId="3" r:id="rId3"/>
    <sheet name="VLOOKUP_TRUE" sheetId="4" r:id="rId4"/>
    <sheet name="HLOOKUP" sheetId="5" r:id="rId5"/>
    <sheet name="INDEX" sheetId="6" r:id="rId6"/>
    <sheet name="MATCH" sheetId="7" r:id="rId7"/>
    <sheet name="INDEX_MATCH" sheetId="8" r:id="rId8"/>
    <sheet name="COUNTIF" sheetId="9" r:id="rId9"/>
    <sheet name="SUMIF" sheetId="10" r:id="rId10"/>
    <sheet name="IF" sheetId="11" r:id="rId11"/>
    <sheet name="Nested_IF" sheetId="12" r:id="rId12"/>
    <sheet name="Data_Cleaning" sheetId="13" r:id="rId13"/>
    <sheet name="Pivot_Tables" sheetId="14" r:id="rId14"/>
    <sheet name="Pivot_Charts" sheetId="15" r:id="rId15"/>
    <sheet name="Slicers" sheetId="16" r:id="rId16"/>
    <sheet name="Dashboard_Project" sheetId="17" r:id="rId17"/>
    <sheet name="Instructor_Answer_Key" sheetId="18" state="hidden" r:id="rId18"/>
  </sheets>
  <definedNames>
    <definedName name="Slicer_Months__Date">#N/A</definedName>
    <definedName name="Slicer_Months__Date1">#N/A</definedName>
    <definedName name="Slicer_Product">#N/A</definedName>
    <definedName name="Slicer_Product1">#N/A</definedName>
    <definedName name="Slicer_Product2">#N/A</definedName>
    <definedName name="Slicer_Product3">#N/A</definedName>
    <definedName name="Slicer_Region">#N/A</definedName>
    <definedName name="Slicer_Region1">#N/A</definedName>
    <definedName name="Slicer_Region2">#N/A</definedName>
    <definedName name="Slicer_Region3">#N/A</definedName>
    <definedName name="Slicer_Region4">#N/A</definedName>
  </definedNames>
  <calcPr calcId="191029"/>
  <pivotCaches>
    <pivotCache cacheId="10" r:id="rId19"/>
    <pivotCache cacheId="42" r:id="rId20"/>
    <pivotCache cacheId="41" r:id="rId21"/>
    <pivotCache cacheId="40" r:id="rId22"/>
  </pivotCaches>
  <extLs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32" i="17" l="1"/>
  <c r="J111" i="17"/>
  <c r="N132" i="17"/>
  <c r="J110" i="17"/>
  <c r="M132" i="17"/>
  <c r="J109" i="17"/>
  <c r="H70" i="5"/>
  <c r="E70" i="5"/>
  <c r="H69" i="5"/>
  <c r="E69" i="5"/>
  <c r="H68" i="5"/>
  <c r="E68" i="5"/>
  <c r="H67" i="5"/>
  <c r="E67" i="5"/>
  <c r="H66" i="5"/>
  <c r="E66" i="5"/>
  <c r="H65" i="5"/>
  <c r="E65" i="5"/>
  <c r="H64" i="5"/>
  <c r="E64" i="5"/>
  <c r="H63" i="5"/>
  <c r="E63" i="5"/>
  <c r="H61" i="5"/>
  <c r="A135" i="14"/>
  <c r="A132" i="14"/>
  <c r="A129" i="14"/>
  <c r="H33" i="13"/>
  <c r="E33" i="13"/>
  <c r="H32" i="13"/>
  <c r="E32" i="13"/>
  <c r="H31" i="13"/>
  <c r="E31" i="13"/>
  <c r="H30" i="13"/>
  <c r="E30" i="13"/>
  <c r="H29" i="13"/>
  <c r="E29" i="13"/>
  <c r="H28" i="13"/>
  <c r="E28" i="13"/>
  <c r="H27" i="13"/>
  <c r="E27" i="13"/>
  <c r="H26" i="13"/>
  <c r="E26" i="13"/>
  <c r="H25" i="13"/>
  <c r="E25" i="13"/>
  <c r="H70" i="12"/>
  <c r="E70" i="12"/>
  <c r="H69" i="12"/>
  <c r="E69" i="12"/>
  <c r="H68" i="12"/>
  <c r="E68" i="12"/>
  <c r="H67" i="12"/>
  <c r="E67" i="12"/>
  <c r="H66" i="12"/>
  <c r="E66" i="12"/>
  <c r="H65" i="12"/>
  <c r="E65" i="12"/>
  <c r="H64" i="12"/>
  <c r="E64" i="12"/>
  <c r="H63" i="12"/>
  <c r="E63" i="12"/>
  <c r="H62" i="12"/>
  <c r="E62" i="12"/>
  <c r="H61" i="12"/>
  <c r="E61" i="12"/>
  <c r="H70" i="11"/>
  <c r="H69" i="11"/>
  <c r="E69" i="11"/>
  <c r="H68" i="11"/>
  <c r="E68" i="11"/>
  <c r="H67" i="11"/>
  <c r="E67" i="11"/>
  <c r="H66" i="11"/>
  <c r="E66" i="11"/>
  <c r="H65" i="11"/>
  <c r="E65" i="11"/>
  <c r="H64" i="11"/>
  <c r="E64" i="11"/>
  <c r="H63" i="11"/>
  <c r="E63" i="11"/>
  <c r="H62" i="11"/>
  <c r="E62" i="11"/>
  <c r="H61" i="11"/>
  <c r="E61" i="11"/>
  <c r="I70" i="10"/>
  <c r="H70" i="10"/>
  <c r="J6" i="10"/>
  <c r="J7" i="10"/>
  <c r="J8" i="10"/>
  <c r="J9" i="10"/>
  <c r="J5" i="10"/>
  <c r="H69" i="10"/>
  <c r="E69" i="10"/>
  <c r="H68" i="10"/>
  <c r="E68" i="10"/>
  <c r="H67" i="10"/>
  <c r="E67" i="10"/>
  <c r="H66" i="10"/>
  <c r="E66" i="10"/>
  <c r="H65" i="10"/>
  <c r="E65" i="10"/>
  <c r="H63" i="10"/>
  <c r="H61" i="10"/>
  <c r="H64" i="10"/>
  <c r="E64" i="10"/>
  <c r="E63" i="10"/>
  <c r="H62" i="10"/>
  <c r="E62" i="10"/>
  <c r="E61" i="10"/>
  <c r="I70" i="9"/>
  <c r="H70" i="9"/>
  <c r="J7" i="9"/>
  <c r="J8" i="9"/>
  <c r="J9" i="9"/>
  <c r="J10" i="9"/>
  <c r="J6" i="9"/>
  <c r="H69" i="9"/>
  <c r="E69" i="9"/>
  <c r="H68" i="9"/>
  <c r="E68" i="9"/>
  <c r="H67" i="9"/>
  <c r="E67" i="9"/>
  <c r="H66" i="9"/>
  <c r="E66" i="9"/>
  <c r="H65" i="9"/>
  <c r="E65" i="9"/>
  <c r="H64" i="9"/>
  <c r="E64" i="9"/>
  <c r="H63" i="9"/>
  <c r="E63" i="9"/>
  <c r="H62" i="9"/>
  <c r="E62" i="9"/>
  <c r="H61" i="9"/>
  <c r="E61" i="9"/>
  <c r="J6" i="8"/>
  <c r="H69" i="8"/>
  <c r="E69" i="8"/>
  <c r="H68" i="8"/>
  <c r="E68" i="8"/>
  <c r="H67" i="8"/>
  <c r="E67" i="8"/>
  <c r="H66" i="8"/>
  <c r="E66" i="8"/>
  <c r="H65" i="8"/>
  <c r="E65" i="8"/>
  <c r="H64" i="8"/>
  <c r="E64" i="8"/>
  <c r="H63" i="8"/>
  <c r="E63" i="8"/>
  <c r="H62" i="8"/>
  <c r="E62" i="8"/>
  <c r="H61" i="8"/>
  <c r="E61" i="8"/>
  <c r="J7" i="7"/>
  <c r="H69" i="7"/>
  <c r="E69" i="7"/>
  <c r="H68" i="7"/>
  <c r="E68" i="7"/>
  <c r="H67" i="7"/>
  <c r="E67" i="7"/>
  <c r="H66" i="7"/>
  <c r="E66" i="7"/>
  <c r="H65" i="7"/>
  <c r="E65" i="7"/>
  <c r="H64" i="7"/>
  <c r="E64" i="7"/>
  <c r="H63" i="7"/>
  <c r="E63" i="7"/>
  <c r="H62" i="7"/>
  <c r="E62" i="7"/>
  <c r="H61" i="7"/>
  <c r="E61" i="7"/>
  <c r="J8" i="6" a="1"/>
  <c r="J8" i="6" s="1"/>
  <c r="H68" i="6"/>
  <c r="H69" i="6"/>
  <c r="H67" i="6"/>
  <c r="H66" i="6"/>
  <c r="H65" i="6"/>
  <c r="H64" i="6"/>
  <c r="H63" i="6"/>
  <c r="H62" i="6"/>
  <c r="H61" i="6"/>
  <c r="E61" i="5"/>
  <c r="H62" i="5"/>
  <c r="L14" i="4"/>
  <c r="H22" i="4"/>
  <c r="H21" i="4"/>
  <c r="H20" i="4"/>
  <c r="H19" i="4"/>
  <c r="H18" i="4"/>
  <c r="H17" i="4"/>
  <c r="H16" i="4"/>
  <c r="H15" i="4"/>
  <c r="H14" i="4"/>
  <c r="K10" i="3"/>
  <c r="K9" i="3"/>
  <c r="K8" i="3"/>
  <c r="K7" i="3"/>
  <c r="H69" i="3"/>
  <c r="H68" i="3"/>
  <c r="H67" i="3"/>
  <c r="H66" i="3"/>
  <c r="H65" i="3"/>
  <c r="H64" i="3"/>
  <c r="H63" i="3"/>
  <c r="H62" i="3"/>
  <c r="H61" i="3"/>
  <c r="F154" i="18"/>
  <c r="F153" i="18"/>
  <c r="F152" i="18"/>
  <c r="F151" i="18"/>
  <c r="F150" i="18"/>
  <c r="F149" i="18"/>
  <c r="F148" i="18"/>
  <c r="F147" i="18"/>
  <c r="F146" i="18"/>
  <c r="F144" i="18"/>
  <c r="F143" i="18"/>
  <c r="F142" i="18"/>
  <c r="F141" i="18"/>
  <c r="F140" i="18"/>
  <c r="F139" i="18"/>
  <c r="F138" i="18"/>
  <c r="F137" i="18"/>
  <c r="F134" i="18"/>
  <c r="F133" i="18"/>
  <c r="F132" i="18"/>
  <c r="F131" i="18"/>
  <c r="F130" i="18"/>
  <c r="F129" i="18"/>
  <c r="F123" i="18"/>
  <c r="F120" i="18"/>
  <c r="F119" i="18"/>
  <c r="F118" i="18"/>
  <c r="F117" i="18"/>
  <c r="F116" i="18"/>
  <c r="F115" i="18"/>
  <c r="F114" i="18"/>
  <c r="F113" i="18"/>
  <c r="F112" i="18"/>
  <c r="F111" i="18"/>
  <c r="F110" i="18"/>
  <c r="F109" i="18"/>
  <c r="F108" i="18"/>
  <c r="F107" i="18"/>
  <c r="F106" i="18"/>
  <c r="F105" i="18"/>
  <c r="F103" i="18"/>
  <c r="F102" i="18"/>
  <c r="F101" i="18"/>
  <c r="F99" i="18"/>
  <c r="F98" i="18"/>
  <c r="F96" i="18"/>
  <c r="F95" i="18"/>
  <c r="F94" i="18"/>
  <c r="F92" i="18"/>
  <c r="F91" i="18"/>
  <c r="F90" i="18"/>
  <c r="F89" i="18"/>
  <c r="F88" i="18"/>
  <c r="F86" i="18"/>
  <c r="F85" i="18"/>
  <c r="F84" i="18"/>
  <c r="F83" i="18"/>
  <c r="F82" i="18"/>
  <c r="F81" i="18"/>
  <c r="F80" i="18"/>
  <c r="F79" i="18"/>
  <c r="F78" i="18"/>
  <c r="F77" i="18"/>
  <c r="F76" i="18"/>
  <c r="F75" i="18"/>
  <c r="F74" i="18"/>
  <c r="F73" i="18"/>
  <c r="F72" i="18"/>
  <c r="F71"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3" i="18"/>
  <c r="F42" i="18"/>
  <c r="F41" i="18"/>
  <c r="F40" i="18"/>
  <c r="F39" i="18"/>
  <c r="F38" i="18"/>
  <c r="F37" i="18"/>
  <c r="F36" i="18"/>
  <c r="F35" i="18"/>
  <c r="F31" i="18"/>
  <c r="F24" i="18"/>
  <c r="F23" i="18"/>
  <c r="F22" i="18"/>
  <c r="F21" i="18"/>
  <c r="F20" i="18"/>
  <c r="F19" i="18"/>
  <c r="F18" i="18"/>
  <c r="F17" i="18"/>
  <c r="F16" i="18"/>
  <c r="F15" i="18"/>
  <c r="F14" i="18"/>
  <c r="F13" i="18"/>
  <c r="F12" i="18"/>
  <c r="F11" i="18"/>
  <c r="F10" i="18"/>
  <c r="F9" i="18"/>
  <c r="F8" i="18"/>
  <c r="F127" i="18" s="1"/>
  <c r="F7" i="18"/>
  <c r="F126" i="18" s="1"/>
  <c r="F6" i="18"/>
  <c r="F128" i="18" s="1"/>
  <c r="F5" i="18"/>
  <c r="E118" i="17"/>
  <c r="E117" i="17"/>
  <c r="E116" i="17"/>
  <c r="E115" i="17"/>
  <c r="E114" i="17"/>
  <c r="E113" i="17"/>
  <c r="E112" i="17"/>
  <c r="E111" i="17"/>
  <c r="E110" i="17"/>
  <c r="E109" i="17"/>
  <c r="E118" i="16"/>
  <c r="E117" i="16"/>
  <c r="E116" i="16"/>
  <c r="E115" i="16"/>
  <c r="E114" i="16"/>
  <c r="E113" i="16"/>
  <c r="E112" i="16"/>
  <c r="E111" i="16"/>
  <c r="E118" i="15"/>
  <c r="E117" i="15"/>
  <c r="E116" i="15"/>
  <c r="E115" i="15"/>
  <c r="E114" i="15"/>
  <c r="E113" i="15"/>
  <c r="E112" i="15"/>
  <c r="E111" i="15"/>
  <c r="E110" i="15"/>
  <c r="E109" i="15"/>
  <c r="E118" i="14"/>
  <c r="E117" i="14"/>
  <c r="E116" i="14"/>
  <c r="E115" i="14"/>
  <c r="E114" i="14"/>
  <c r="E113" i="14"/>
  <c r="E112" i="14"/>
  <c r="E111" i="14"/>
  <c r="E110" i="14"/>
  <c r="E109" i="14"/>
  <c r="E34" i="13"/>
  <c r="E70" i="11"/>
  <c r="E70" i="10"/>
  <c r="E70" i="9"/>
  <c r="E70" i="8"/>
  <c r="E70" i="7"/>
  <c r="E70" i="6"/>
  <c r="E69" i="6"/>
  <c r="E68" i="6"/>
  <c r="E67" i="6"/>
  <c r="E66" i="6"/>
  <c r="E65" i="6"/>
  <c r="E64" i="6"/>
  <c r="E63" i="6"/>
  <c r="E62" i="6"/>
  <c r="E61" i="6"/>
  <c r="E23" i="4"/>
  <c r="E22" i="4"/>
  <c r="E21" i="4"/>
  <c r="E20" i="4"/>
  <c r="E19" i="4"/>
  <c r="E18" i="4"/>
  <c r="E17" i="4"/>
  <c r="E16" i="4"/>
  <c r="E15" i="4"/>
  <c r="E14" i="4"/>
  <c r="E70" i="3"/>
  <c r="E69" i="3"/>
  <c r="E68" i="3"/>
  <c r="E67" i="3"/>
  <c r="E66" i="3"/>
  <c r="E65" i="3"/>
  <c r="E64" i="3"/>
  <c r="E63" i="3"/>
  <c r="E62" i="3"/>
  <c r="E61" i="3"/>
  <c r="F33" i="18" l="1"/>
  <c r="F93" i="18"/>
  <c r="F34" i="18"/>
  <c r="F145" i="18"/>
  <c r="F25" i="18"/>
  <c r="F97" i="18"/>
  <c r="F121" i="18"/>
  <c r="F26" i="18"/>
  <c r="F122" i="18"/>
  <c r="F27" i="18"/>
  <c r="F87" i="18"/>
  <c r="F28" i="18"/>
  <c r="F100" i="18"/>
  <c r="F124" i="18"/>
  <c r="F29" i="18"/>
  <c r="F125" i="18"/>
  <c r="F30" i="18"/>
  <c r="F32" i="18"/>
  <c r="F104" i="18"/>
  <c r="F44" i="18"/>
  <c r="F70" i="18"/>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<sst xmlns="http://schemas.openxmlformats.org/spreadsheetml/2006/main" count="5430" uniqueCount="594">
  <si>
    <t>Excel for Data Analytics — Day 1B &amp; Day 2 Workbook</t>
  </si>
  <si>
    <t>Beginner-friendly training workbook with color-coded difficulty levels, real datasets, and a hidden answer key.</t>
  </si>
  <si>
    <t>Color Legend</t>
  </si>
  <si>
    <t>Easy</t>
  </si>
  <si>
    <t>Medium</t>
  </si>
  <si>
    <t>Hard</t>
  </si>
  <si>
    <t>Challenge</t>
  </si>
  <si>
    <t>How to use this workbook</t>
  </si>
  <si>
    <t>1. Read the question carefully.</t>
  </si>
  <si>
    <t>2. Use the dataset in the same sheet.</t>
  </si>
  <si>
    <t>3. Try the formula in a blank cell first.</t>
  </si>
  <si>
    <t>4. Move from Easy to Challenge in order.</t>
  </si>
  <si>
    <t>5. For Day 2 sheets, refresh pivot tables after data changes.</t>
  </si>
  <si>
    <t>6. Hidden instructor answers are stored in the last sheet.</t>
  </si>
  <si>
    <t>Workbook layout</t>
  </si>
  <si>
    <t>Day 1B: VLOOKUP FALSE, VLOOKUP TRUE, HLOOKUP, INDEX, MATCH, INDEX+MATCH, COUNTIF, SUMIF, IF, Nested IF, Data Cleaning</t>
  </si>
  <si>
    <t>Day 2: Pivot Tables, Pivot Charts, Slicers, Dashboard Project</t>
  </si>
  <si>
    <t>Master employee dataset starts in each formula sheet and is shared across lookups and logic exercises.</t>
  </si>
  <si>
    <t>Sales dataset is used for Pivot Table / Pivot Chart / Slicer / Dashboard practice.</t>
  </si>
  <si>
    <t>VLOOKUP FALSE (Exact Match)</t>
  </si>
  <si>
    <t>Use the master employee dataset above. Questions increase from direct formulas to business scenarios.</t>
  </si>
  <si>
    <t>Master Employee Dataset</t>
  </si>
  <si>
    <t>Employee ID</t>
  </si>
  <si>
    <t>Name</t>
  </si>
  <si>
    <t>Department</t>
  </si>
  <si>
    <t>City</t>
  </si>
  <si>
    <t>Salary</t>
  </si>
  <si>
    <t>Experience</t>
  </si>
  <si>
    <t>Performance Rating</t>
  </si>
  <si>
    <t>Monthly Sales</t>
  </si>
  <si>
    <t>E101</t>
  </si>
  <si>
    <t>Rahul Sharma</t>
  </si>
  <si>
    <t>IT</t>
  </si>
  <si>
    <t>Delhi</t>
  </si>
  <si>
    <t>Good</t>
  </si>
  <si>
    <t>E102</t>
  </si>
  <si>
    <t>Priya Singh</t>
  </si>
  <si>
    <t>HR</t>
  </si>
  <si>
    <t>Mumbai</t>
  </si>
  <si>
    <t>Excellent</t>
  </si>
  <si>
    <t>E103</t>
  </si>
  <si>
    <t>Kabir Mehta</t>
  </si>
  <si>
    <t>E104</t>
  </si>
  <si>
    <t>Ananya Roy</t>
  </si>
  <si>
    <t>Finance</t>
  </si>
  <si>
    <t>Kolkata</t>
  </si>
  <si>
    <t>E105</t>
  </si>
  <si>
    <t>Zara Khan</t>
  </si>
  <si>
    <t>Marketing</t>
  </si>
  <si>
    <t>Average</t>
  </si>
  <si>
    <t>E106</t>
  </si>
  <si>
    <t>Arjun Patel</t>
  </si>
  <si>
    <t>Ahmedabad</t>
  </si>
  <si>
    <t>E107</t>
  </si>
  <si>
    <t>Neha Gupta</t>
  </si>
  <si>
    <t>E108</t>
  </si>
  <si>
    <t>Rohan Das</t>
  </si>
  <si>
    <t>E109</t>
  </si>
  <si>
    <t>Simran Kaur</t>
  </si>
  <si>
    <t>Chennai</t>
  </si>
  <si>
    <t>E110</t>
  </si>
  <si>
    <t>Aman Verma</t>
  </si>
  <si>
    <t>Pune</t>
  </si>
  <si>
    <t>E111</t>
  </si>
  <si>
    <t>Ritu Iyer</t>
  </si>
  <si>
    <t>E112</t>
  </si>
  <si>
    <t>Ira Malhotra</t>
  </si>
  <si>
    <t>Sales</t>
  </si>
  <si>
    <t>Hyderabad</t>
  </si>
  <si>
    <t>E113</t>
  </si>
  <si>
    <t>Arnav Yadav</t>
  </si>
  <si>
    <t>E114</t>
  </si>
  <si>
    <t>Nisha Malhotra</t>
  </si>
  <si>
    <t>Needs Improvement</t>
  </si>
  <si>
    <t>E115</t>
  </si>
  <si>
    <t>Naina Gupta</t>
  </si>
  <si>
    <t>E116</t>
  </si>
  <si>
    <t>Manish Gupta</t>
  </si>
  <si>
    <t>E117</t>
  </si>
  <si>
    <t>Aarav Singh</t>
  </si>
  <si>
    <t>E118</t>
  </si>
  <si>
    <t>Aarav Rao</t>
  </si>
  <si>
    <t>Operations</t>
  </si>
  <si>
    <t>Bengaluru</t>
  </si>
  <si>
    <t>E119</t>
  </si>
  <si>
    <t>Zara Kapoor</t>
  </si>
  <si>
    <t>E120</t>
  </si>
  <si>
    <t>Bhavna Kapoor</t>
  </si>
  <si>
    <t>E121</t>
  </si>
  <si>
    <t>Meera Joshi</t>
  </si>
  <si>
    <t>E122</t>
  </si>
  <si>
    <t>Sanjay Bose</t>
  </si>
  <si>
    <t>E123</t>
  </si>
  <si>
    <t>Manish Mishra</t>
  </si>
  <si>
    <t>E124</t>
  </si>
  <si>
    <t>Karan Kapoor</t>
  </si>
  <si>
    <t>E125</t>
  </si>
  <si>
    <t>Sakshi Joshi</t>
  </si>
  <si>
    <t>E126</t>
  </si>
  <si>
    <t>Arjun Verma</t>
  </si>
  <si>
    <t>E127</t>
  </si>
  <si>
    <t>Tanya Kumar</t>
  </si>
  <si>
    <t>E128</t>
  </si>
  <si>
    <t>Ayaan Singh</t>
  </si>
  <si>
    <t>E129</t>
  </si>
  <si>
    <t>Vihaan Singh</t>
  </si>
  <si>
    <t>E130</t>
  </si>
  <si>
    <t>Aditi Bose</t>
  </si>
  <si>
    <t>E131</t>
  </si>
  <si>
    <t>Arjun Yadav</t>
  </si>
  <si>
    <t>E132</t>
  </si>
  <si>
    <t>Sai Joshi</t>
  </si>
  <si>
    <t>E133</t>
  </si>
  <si>
    <t>Vihaan Patel</t>
  </si>
  <si>
    <t>E134</t>
  </si>
  <si>
    <t>Kavya Mishra</t>
  </si>
  <si>
    <t>E135</t>
  </si>
  <si>
    <t>Vikas Bose</t>
  </si>
  <si>
    <t>E136</t>
  </si>
  <si>
    <t>Shreya Patel</t>
  </si>
  <si>
    <t>E137</t>
  </si>
  <si>
    <t>Priya Chatterjee</t>
  </si>
  <si>
    <t>E138</t>
  </si>
  <si>
    <t>Harsh Kapoor</t>
  </si>
  <si>
    <t>E139</t>
  </si>
  <si>
    <t>Simran Kumar</t>
  </si>
  <si>
    <t>E140</t>
  </si>
  <si>
    <t>Aarav Yadav</t>
  </si>
  <si>
    <t>E141</t>
  </si>
  <si>
    <t>Aman Gupta</t>
  </si>
  <si>
    <t>E142</t>
  </si>
  <si>
    <t>Meera Saxena</t>
  </si>
  <si>
    <t>E143</t>
  </si>
  <si>
    <t>Ishaan Rao</t>
  </si>
  <si>
    <t>E144</t>
  </si>
  <si>
    <t>Rohan Mehta</t>
  </si>
  <si>
    <t>E145</t>
  </si>
  <si>
    <t>Vihaan Gupta</t>
  </si>
  <si>
    <t>E146</t>
  </si>
  <si>
    <t>Zara Rao</t>
  </si>
  <si>
    <t>E147</t>
  </si>
  <si>
    <t>Gaurav Kumar</t>
  </si>
  <si>
    <t>E148</t>
  </si>
  <si>
    <t>Aditya Nair</t>
  </si>
  <si>
    <t>E149</t>
  </si>
  <si>
    <t>Aman Bose</t>
  </si>
  <si>
    <t>E150</t>
  </si>
  <si>
    <t>Diya Mishra</t>
  </si>
  <si>
    <t>Question No.</t>
  </si>
  <si>
    <t>Question Text</t>
  </si>
  <si>
    <t>Difficulty</t>
  </si>
  <si>
    <t>Expected Answer</t>
  </si>
  <si>
    <t>Formula Used</t>
  </si>
  <si>
    <t>Teaching Objective</t>
  </si>
  <si>
    <t>Find the Department for Employee ID E103.</t>
  </si>
  <si>
    <t>Teach exact lookup, error handling, and combining lookup with IF.</t>
  </si>
  <si>
    <t>Find the Salary for Employee ID E105.</t>
  </si>
  <si>
    <t>38000</t>
  </si>
  <si>
    <t>Find the Name for Employee ID E102.</t>
  </si>
  <si>
    <t>Use a lookup to return the City for E110.</t>
  </si>
  <si>
    <t>Return the Monthly Sales for E106.</t>
  </si>
  <si>
    <t>55000</t>
  </si>
  <si>
    <t>If Employee ID E999 is entered, show a friendly message using IFERROR.</t>
  </si>
  <si>
    <t>Employee Not Found</t>
  </si>
  <si>
    <t>Return Name and Department together for E104 using lookup plus concatenation.</t>
  </si>
  <si>
    <t>Ananya Roy - Finance</t>
  </si>
  <si>
    <t>Classify E106 as High Salary if salary is above 50000, otherwise Normal Salary.</t>
  </si>
  <si>
    <t>High Salary</t>
  </si>
  <si>
    <t>Return Performance Rating for E107 and show Not Available if ID is invalid.</t>
  </si>
  <si>
    <t>Build a search box so a manager can type any Employee ID and instantly return Name, Department, City, and Salary.</t>
  </si>
  <si>
    <t>Dynamic employee search result</t>
  </si>
  <si>
    <t>VLOOKUP TRUE (Approximate Match)</t>
  </si>
  <si>
    <t>Use these slab tables to learn approximate matching. Data is intentionally sorted.</t>
  </si>
  <si>
    <t>Grade Slab Table</t>
  </si>
  <si>
    <t>Commission Slab Table</t>
  </si>
  <si>
    <t>Tax Slab Table</t>
  </si>
  <si>
    <t>Bonus Slab Table</t>
  </si>
  <si>
    <t>Unsorted Example (Teaching Only)</t>
  </si>
  <si>
    <t>Minimum Marks</t>
  </si>
  <si>
    <t>Grade</t>
  </si>
  <si>
    <t>Sales Amount</t>
  </si>
  <si>
    <t>Commission</t>
  </si>
  <si>
    <t>Income</t>
  </si>
  <si>
    <t>Tax Slab</t>
  </si>
  <si>
    <t>Bonus</t>
  </si>
  <si>
    <t>Marks</t>
  </si>
  <si>
    <t>F</t>
  </si>
  <si>
    <t>2%</t>
  </si>
  <si>
    <t>0%</t>
  </si>
  <si>
    <t>A</t>
  </si>
  <si>
    <t>D</t>
  </si>
  <si>
    <t>5%</t>
  </si>
  <si>
    <t>3%</t>
  </si>
  <si>
    <t>C</t>
  </si>
  <si>
    <t>8%</t>
  </si>
  <si>
    <t>10%</t>
  </si>
  <si>
    <t>B</t>
  </si>
  <si>
    <t>20%</t>
  </si>
  <si>
    <t>7%</t>
  </si>
  <si>
    <t>15%</t>
  </si>
  <si>
    <t>30%</t>
  </si>
  <si>
    <t>Using the grade slab table, what grade should 65 marks receive?</t>
  </si>
  <si>
    <t>Teach approximate lookup, slabs, and why sorted data matters.</t>
  </si>
  <si>
    <t>Using the grade slab table, what grade should 82 marks receive?</t>
  </si>
  <si>
    <t>Using the grade slab table, what grade should 35 marks receive?</t>
  </si>
  <si>
    <t>Using the commission slab table, what commission applies to sales of 42000?</t>
  </si>
  <si>
    <t>Using the commission slab table, what commission applies to sales of 75000?</t>
  </si>
  <si>
    <t>Using the tax slab table, what slab applies to income of 260000?</t>
  </si>
  <si>
    <t>Demonstrate why the slab table must be sorted by finding the grade for 89 marks.</t>
  </si>
  <si>
    <t>Use approximate match to determine bonus percentage for salary 68000.</t>
  </si>
  <si>
    <t>Show what happens if the grade table is unsorted and a student enters 82 marks.</t>
  </si>
  <si>
    <t>Potentially incorrect result</t>
  </si>
  <si>
    <t>Build an automatic grading system using TRUE so marks entered in a cell return the correct grade.</t>
  </si>
  <si>
    <t>Dynamic grade result</t>
  </si>
  <si>
    <t>HLOOKUP</t>
  </si>
  <si>
    <t>Find the salary for E103 from the horizontal employee table.</t>
  </si>
  <si>
    <t>50000</t>
  </si>
  <si>
    <t>Teach horizontal lookup and comparison with VLOOKUP.</t>
  </si>
  <si>
    <t>Find the department for E104 from the horizontal employee table.</t>
  </si>
  <si>
    <t>Find the name for E105 from the horizontal employee table.</t>
  </si>
  <si>
    <t>Return the city for E102 from the horizontal table.</t>
  </si>
  <si>
    <t>Return the performance rating for E106 from the horizontal table.</t>
  </si>
  <si>
    <t>What happens when E999 is searched horizontally with exact match?</t>
  </si>
  <si>
    <t>Combine HLOOKUP with IF to show Promotable if E106 salary is above 50000.</t>
  </si>
  <si>
    <t>Promotable</t>
  </si>
  <si>
    <t>Use HLOOKUP with IFERROR for invalid employee IDs.</t>
  </si>
  <si>
    <t>Return monthly sales for E110 from the horizontal table.</t>
  </si>
  <si>
    <t>62000</t>
  </si>
  <si>
    <t>Design a horizontal lookup panel where a user picks an employee ID and sees all details across the row.</t>
  </si>
  <si>
    <t>Dynamic horizontal lookup output</t>
  </si>
  <si>
    <t>INDEX</t>
  </si>
  <si>
    <t>Return the value at row 3, column 2 in the employee table.</t>
  </si>
  <si>
    <t>Teach coordinate-based retrieval from a table.</t>
  </si>
  <si>
    <t>Return the value at row 5, column 4 in the employee table.</t>
  </si>
  <si>
    <t>Return the value at row 2, column 5 in the employee table.</t>
  </si>
  <si>
    <t>40000</t>
  </si>
  <si>
    <t>Return the value at row 1, column 7 in the employee table.</t>
  </si>
  <si>
    <t>Return the value at row 4, column 3 in the employee table.</t>
  </si>
  <si>
    <t>Return the value at row 6, column 8 in the employee table.</t>
  </si>
  <si>
    <t>Use INDEX to return the city of the 10th employee row.</t>
  </si>
  <si>
    <t>Use INDEX to return the name of the employee in row 7.</t>
  </si>
  <si>
    <t>Use INDEX to return the salary from the 8th row.</t>
  </si>
  <si>
    <t>52000</t>
  </si>
  <si>
    <t>Create a coordinate finder where a user enters row and column numbers and Excel returns the cell value.</t>
  </si>
  <si>
    <t>Dynamic coordinate-based output</t>
  </si>
  <si>
    <t>MATCH</t>
  </si>
  <si>
    <t>Find the position of E103 in the employee ID list.</t>
  </si>
  <si>
    <t>3</t>
  </si>
  <si>
    <t>Teach finding position and search index logic.</t>
  </si>
  <si>
    <t>Find the position of E105 in the employee ID list.</t>
  </si>
  <si>
    <t>5</t>
  </si>
  <si>
    <t>Find the position of E110 in the employee ID list.</t>
  </si>
  <si>
    <t>10</t>
  </si>
  <si>
    <t>Find the position of Kabir Mehta in the Name column.</t>
  </si>
  <si>
    <t>Find the position of Finance in the Department list.</t>
  </si>
  <si>
    <t>4</t>
  </si>
  <si>
    <t>Find the position of Delhi in the City list.</t>
  </si>
  <si>
    <t>1</t>
  </si>
  <si>
    <t>Use MATCH to locate the row number of the highest salary after sorting the salary range.</t>
  </si>
  <si>
    <t>Dynamic row position</t>
  </si>
  <si>
    <t>Use MATCH to find the position of Excellent in the Performance column.</t>
  </si>
  <si>
    <t>Find the position of 55000 in the Salary list.</t>
  </si>
  <si>
    <t>Build a search helper that returns the row number for any employee ID typed by the user.</t>
  </si>
  <si>
    <t>Dynamic row number</t>
  </si>
  <si>
    <t>INDEX + MATCH</t>
  </si>
  <si>
    <t>Find the Name for Employee ID E104 using INDEX-MATCH.</t>
  </si>
  <si>
    <t>Teach flexible lookup and reverse lookup.</t>
  </si>
  <si>
    <t>Find the Salary for Employee ID E106 using INDEX-MATCH.</t>
  </si>
  <si>
    <t>60000</t>
  </si>
  <si>
    <t>Find the Department for Employee ID E107 using INDEX-MATCH.</t>
  </si>
  <si>
    <t>Find the City for Employee ID E110 using INDEX-MATCH.</t>
  </si>
  <si>
    <t>Find the Monthly Sales for Employee ID E108 using INDEX-MATCH.</t>
  </si>
  <si>
    <t>46000</t>
  </si>
  <si>
    <t>Find the Performance Rating for Employee ID E102 using INDEX-MATCH.</t>
  </si>
  <si>
    <t>Perform a reverse lookup: find the Employee ID for Priya Singh.</t>
  </si>
  <si>
    <t>Return both Department and Salary for E103 using INDEX-MATCH with concatenation.</t>
  </si>
  <si>
    <t>IT - 50000</t>
  </si>
  <si>
    <t>Use IFERROR with INDEX-MATCH to handle invalid IDs.</t>
  </si>
  <si>
    <t>Build a flexible lookup tool that can return any field for any employee without using VLOOKUP.</t>
  </si>
  <si>
    <t>Multi-field dynamic lookup</t>
  </si>
  <si>
    <t>COUNTIF</t>
  </si>
  <si>
    <t>Count how many employees work in IT.</t>
  </si>
  <si>
    <t>Teach conditional counting and grouped business analysis.</t>
  </si>
  <si>
    <t>Count how many employees are in Delhi.</t>
  </si>
  <si>
    <t>11</t>
  </si>
  <si>
    <t>Count how many employees have Excellent performance.</t>
  </si>
  <si>
    <t>14</t>
  </si>
  <si>
    <t>Count how many employees have salary above 50000.</t>
  </si>
  <si>
    <t>18</t>
  </si>
  <si>
    <t>Count how many employees are in Finance.</t>
  </si>
  <si>
    <t>8</t>
  </si>
  <si>
    <t>Count how many employees have experience of 5 years or more.</t>
  </si>
  <si>
    <t>21</t>
  </si>
  <si>
    <t>Count how many employees have both IT department and Delhi city using COUNTIFS.</t>
  </si>
  <si>
    <t>Count how many employees have Monthly Sales above 50000.</t>
  </si>
  <si>
    <t>17</t>
  </si>
  <si>
    <t>Count how many employees are in Marketing or Sales using two COUNTIF results.</t>
  </si>
  <si>
    <t>Find which department has the most employees and explain the counting logic.</t>
  </si>
  <si>
    <t>IT is highest / dynamic by actual count</t>
  </si>
  <si>
    <t>SUMIF</t>
  </si>
  <si>
    <t>Total salary of employees in IT.</t>
  </si>
  <si>
    <t>630000</t>
  </si>
  <si>
    <t>Teach conditional summation and department/region analysis.</t>
  </si>
  <si>
    <t>Total salary of employees in HR.</t>
  </si>
  <si>
    <t>355000</t>
  </si>
  <si>
    <t>Total monthly sales of employees in Delhi.</t>
  </si>
  <si>
    <t>390000</t>
  </si>
  <si>
    <t>Total salary of employees in Finance.</t>
  </si>
  <si>
    <t>440000</t>
  </si>
  <si>
    <t>Total monthly sales of employees in Mumbai.</t>
  </si>
  <si>
    <t>312000</t>
  </si>
  <si>
    <t>Total sales of employees with Excellent performance.</t>
  </si>
  <si>
    <t>613000</t>
  </si>
  <si>
    <t>Find total salary where department is IT and city is Delhi using SUMIFS.</t>
  </si>
  <si>
    <t>245000</t>
  </si>
  <si>
    <t>Find total monthly sales for employees with salary above 50000.</t>
  </si>
  <si>
    <t>487000</t>
  </si>
  <si>
    <t>Find total salary for employees in Marketing.</t>
  </si>
  <si>
    <t>294000</t>
  </si>
  <si>
    <t>Identify the department generating the highest total salary using SUMIF results.</t>
  </si>
  <si>
    <t>Department with max salary total</t>
  </si>
  <si>
    <t>IF</t>
  </si>
  <si>
    <t>Classify salary greater than or equal to 50000 as High Salary, otherwise Low Salary.</t>
  </si>
  <si>
    <t>High Salary / Low Salary</t>
  </si>
  <si>
    <t>Teach decision-making logic and binary classification.</t>
  </si>
  <si>
    <t>Show Pass if monthly sales are at least 25000, otherwise Fail.</t>
  </si>
  <si>
    <t>Pass / Fail</t>
  </si>
  <si>
    <t>Return Eligible if experience is at least 3 years, otherwise Not Eligible.</t>
  </si>
  <si>
    <t>Eligible / Not Eligible</t>
  </si>
  <si>
    <t>Mark employees with performance Excellent as Bonus Eligible.</t>
  </si>
  <si>
    <t>Bonus Eligible</t>
  </si>
  <si>
    <t>Classify salary above 60000 as Senior Grade, otherwise Junior Grade.</t>
  </si>
  <si>
    <t>Senior Grade / Junior Grade</t>
  </si>
  <si>
    <t>Show City Priority if city is Delhi or Mumbai, otherwise Standard.</t>
  </si>
  <si>
    <t>City Priority / Standard</t>
  </si>
  <si>
    <t>Combine IF with VLOOKUP so employee salary determines whether the employee is High Value or Normal.</t>
  </si>
  <si>
    <t>High Value / Normal</t>
  </si>
  <si>
    <t>Use IF with COUNTIF to mark a department as Popular if employee count is above 8.</t>
  </si>
  <si>
    <t>Popular</t>
  </si>
  <si>
    <t>Create a promotion flag for employees with experience 7+ years and Excellent performance.</t>
  </si>
  <si>
    <t>Promotion Eligible</t>
  </si>
  <si>
    <t>Build a complete employee status system using salary, experience, and performance together.</t>
  </si>
  <si>
    <t>Dynamic status output</t>
  </si>
  <si>
    <t>Nested IF</t>
  </si>
  <si>
    <t>Assign A if salary is 70000+, B if 50000+, C if 35000+, otherwise D.</t>
  </si>
  <si>
    <t>A / B / C / D</t>
  </si>
  <si>
    <t>Teach layered logic and grading/appraisal rules.</t>
  </si>
  <si>
    <t>Assign Top if performance is Excellent, Good if Good, Else Needs Improvement.</t>
  </si>
  <si>
    <t>Top / Good / Needs Improvement</t>
  </si>
  <si>
    <t>Assign Level 1 if experience is under 3, Level 2 if 3-6, Level 3 if above 6.</t>
  </si>
  <si>
    <t>Level 1 / Level 2 / Level 3</t>
  </si>
  <si>
    <t>Classify marks using 90+, 80+, 70+, 60+ bands in the slab table.</t>
  </si>
  <si>
    <t>Graded band result</t>
  </si>
  <si>
    <t>Give bonus levels using salary bands: 80k+, 60k+, 40k+, else none.</t>
  </si>
  <si>
    <t>Bonus level</t>
  </si>
  <si>
    <t>Classify employees into Junior, Mid, or Senior using experience.</t>
  </si>
  <si>
    <t>Junior / Mid / Senior</t>
  </si>
  <si>
    <t>Combine nested IF with VLOOKUP to classify employees after fetching salary.</t>
  </si>
  <si>
    <t>Band based on salary</t>
  </si>
  <si>
    <t>Build a five-level appraisal rating based on salary and performance.</t>
  </si>
  <si>
    <t>Appraisal rating</t>
  </si>
  <si>
    <t>Assign Commission Band using sales ranges.</t>
  </si>
  <si>
    <t>Commission band</t>
  </si>
  <si>
    <t>Create an appraisal logic that uses salary, sales, and performance to assign an overall grade.</t>
  </si>
  <si>
    <t>Overall appraisal grade</t>
  </si>
  <si>
    <t>Data Cleaning</t>
  </si>
  <si>
    <t>Clean messy data before analysis. Use TRIM, PROPER, UPPER, LOWER, and duplicate removal.</t>
  </si>
  <si>
    <t>Messy Names Dataset</t>
  </si>
  <si>
    <t>Raw Name</t>
  </si>
  <si>
    <t>rahul sharma</t>
  </si>
  <si>
    <t xml:space="preserve">  PRIYA SINGH</t>
  </si>
  <si>
    <t xml:space="preserve">Kabir Mehta  </t>
  </si>
  <si>
    <t>ananya roy</t>
  </si>
  <si>
    <t>ZARA KHAN</t>
  </si>
  <si>
    <t xml:space="preserve">rahul sharma </t>
  </si>
  <si>
    <t xml:space="preserve">  neha gupta</t>
  </si>
  <si>
    <t>ROHAN DAS</t>
  </si>
  <si>
    <t>simran kaur</t>
  </si>
  <si>
    <t xml:space="preserve">  kabir mehta</t>
  </si>
  <si>
    <t xml:space="preserve">  </t>
  </si>
  <si>
    <t>Priya  Singh</t>
  </si>
  <si>
    <t>raHul sharma</t>
  </si>
  <si>
    <t>Convert raw name text to Proper Case.</t>
  </si>
  <si>
    <t>Rahul Kumar</t>
  </si>
  <si>
    <t>Teach data standardization and preparing clean analysis-ready data.</t>
  </si>
  <si>
    <t>Convert raw name text to Upper Case.</t>
  </si>
  <si>
    <t>RAHUL KUMAR</t>
  </si>
  <si>
    <t>Convert raw name text to Lower Case.</t>
  </si>
  <si>
    <t>rahul kumar</t>
  </si>
  <si>
    <t>Remove leading and trailing spaces from a name.</t>
  </si>
  <si>
    <t>Cleaned name</t>
  </si>
  <si>
    <t>Identify duplicate employee names.</t>
  </si>
  <si>
    <t>Duplicate list</t>
  </si>
  <si>
    <t>Find blank cells in the data column.</t>
  </si>
  <si>
    <t>Blank cell count / blanks flagged</t>
  </si>
  <si>
    <t>Standardize all names so they are consistent for HR reporting.</t>
  </si>
  <si>
    <t>Standardized names</t>
  </si>
  <si>
    <t>Use TRIM and PROPER together on a messy dataset.</t>
  </si>
  <si>
    <t>Trimmed and proper-cased data</t>
  </si>
  <si>
    <t>Remove duplicate records after cleaning names.</t>
  </si>
  <si>
    <t>Unique clean records</t>
  </si>
  <si>
    <t>Prepare a clean employee master list suitable for reporting with no duplicates, no extra spaces, and consistent capitalization.</t>
  </si>
  <si>
    <t>HR-ready cleaned dataset</t>
  </si>
  <si>
    <t>Pivot Tables</t>
  </si>
  <si>
    <t>Use the sales dataset and create Pivot Tables / Pivot Charts / Slicers / Dashboard components.</t>
  </si>
  <si>
    <t>Sales Dataset</t>
  </si>
  <si>
    <t>Date</t>
  </si>
  <si>
    <t>Region</t>
  </si>
  <si>
    <t>Product</t>
  </si>
  <si>
    <t>Salesperson</t>
  </si>
  <si>
    <t>Units Sold</t>
  </si>
  <si>
    <t>Revenue</t>
  </si>
  <si>
    <t>South</t>
  </si>
  <si>
    <t>Tablet</t>
  </si>
  <si>
    <t>West</t>
  </si>
  <si>
    <t>Laptop</t>
  </si>
  <si>
    <t>North</t>
  </si>
  <si>
    <t>Keyboard</t>
  </si>
  <si>
    <t>East</t>
  </si>
  <si>
    <t>Headset</t>
  </si>
  <si>
    <t>Monitor</t>
  </si>
  <si>
    <t>Mobile</t>
  </si>
  <si>
    <t>Show total revenue by Region.</t>
  </si>
  <si>
    <t>Region summary</t>
  </si>
  <si>
    <t>Teach summarization without formulas and business reporting.</t>
  </si>
  <si>
    <t>Show total revenue by Product.</t>
  </si>
  <si>
    <t>Product summary</t>
  </si>
  <si>
    <t>Show monthly revenue totals.</t>
  </si>
  <si>
    <t>Month summary</t>
  </si>
  <si>
    <t>Show average revenue by Region.</t>
  </si>
  <si>
    <t>Average by region</t>
  </si>
  <si>
    <t>Show total units sold by Product.</t>
  </si>
  <si>
    <t>Units summary</t>
  </si>
  <si>
    <t>Show number of sales records by salesperson.</t>
  </si>
  <si>
    <t>Sales count by person</t>
  </si>
  <si>
    <t>Identify the top-performing Region using Pivot Table totals.</t>
  </si>
  <si>
    <t>Top region</t>
  </si>
  <si>
    <t>Identify the top-performing Product using Pivot Table totals.</t>
  </si>
  <si>
    <t>Top product</t>
  </si>
  <si>
    <t>Group sales by Month and Region to compare trends.</t>
  </si>
  <si>
    <t>Grouped trend summary</t>
  </si>
  <si>
    <t>Create a management summary that answers which region, product, and salesperson performed best.</t>
  </si>
  <si>
    <t>Pivot-based management summary</t>
  </si>
  <si>
    <t>Pivot Charts</t>
  </si>
  <si>
    <t>Create a column chart for revenue by Region.</t>
  </si>
  <si>
    <t>Column chart</t>
  </si>
  <si>
    <t>Teach visual reporting and linking charts to pivot tables.</t>
  </si>
  <si>
    <t>Create a bar chart for revenue by Product.</t>
  </si>
  <si>
    <t>Bar chart</t>
  </si>
  <si>
    <t>Create a line chart for monthly revenue.</t>
  </si>
  <si>
    <t>Line chart</t>
  </si>
  <si>
    <t>Choose the best chart for comparing regions and explain why.</t>
  </si>
  <si>
    <t>Column/bar chart</t>
  </si>
  <si>
    <t>Choose the best chart for showing monthly trend.</t>
  </si>
  <si>
    <t>Create a Pivot Chart connected to the revenue Pivot Table.</t>
  </si>
  <si>
    <t>Linked pivot chart</t>
  </si>
  <si>
    <t>Create a chart that updates when the Pivot Table filter changes.</t>
  </si>
  <si>
    <t>Dynamic pivot chart</t>
  </si>
  <si>
    <t>Show product revenue comparison using a Pivot Chart.</t>
  </si>
  <si>
    <t>Product comparison chart</t>
  </si>
  <si>
    <t>Create a chart that highlights the top region visually.</t>
  </si>
  <si>
    <t>Chart with highest region</t>
  </si>
  <si>
    <t>Build a chart set for an executive dashboard: revenue trend, region comparison, and product mix.</t>
  </si>
  <si>
    <t>Dashboard-ready charts</t>
  </si>
  <si>
    <t>Slicers</t>
  </si>
  <si>
    <t>Add a slicer for Region.</t>
  </si>
  <si>
    <t>Region slicer</t>
  </si>
  <si>
    <t>Teach interactive filtering for non-technical users.</t>
  </si>
  <si>
    <t>Add a slicer for Product.</t>
  </si>
  <si>
    <t>Product slicer</t>
  </si>
  <si>
    <t>Filter the Pivot Table to show only North region.</t>
  </si>
  <si>
    <t>North-only result</t>
  </si>
  <si>
    <t>Connect one slicer to more than one Pivot Table.</t>
  </si>
  <si>
    <t>Connected slicer</t>
  </si>
  <si>
    <t>Use two slicers together to filter Region and Product.</t>
  </si>
  <si>
    <t>Dual-filter result</t>
  </si>
  <si>
    <t>Show only Laptop sales from the South region.</t>
  </si>
  <si>
    <t>Filtered result</t>
  </si>
  <si>
    <t>Create a slicer-based report that updates multiple charts.</t>
  </si>
  <si>
    <t>Interactive report</t>
  </si>
  <si>
    <t>Use a slicer to compare sales across months.</t>
  </si>
  <si>
    <t>Month-filtered summary</t>
  </si>
  <si>
    <t>Demonstrate how slicers help non-technical users analyze data.</t>
  </si>
  <si>
    <t>Interactive usability</t>
  </si>
  <si>
    <t>Build an interactive filter panel for a dashboard using Region, Product, and Month slicers.</t>
  </si>
  <si>
    <t>Interactive dashboard filter panel</t>
  </si>
  <si>
    <t>Dashboard Project</t>
  </si>
  <si>
    <t>Create KPI cards for Total Revenue, Total Units Sold, and Number of Orders.</t>
  </si>
  <si>
    <t>KPI cards</t>
  </si>
  <si>
    <t>Teach how multiple tools combine into an executive dashboard.</t>
  </si>
  <si>
    <t>Add a revenue Pivot Table by Region.</t>
  </si>
  <si>
    <t>Region pivot table</t>
  </si>
  <si>
    <t>Add a revenue Pivot Chart by Product.</t>
  </si>
  <si>
    <t>Product chart</t>
  </si>
  <si>
    <t>Add monthly revenue trend to the dashboard.</t>
  </si>
  <si>
    <t>Trend analysis</t>
  </si>
  <si>
    <t>Show best-performing region and product on the dashboard.</t>
  </si>
  <si>
    <t>Best region/product</t>
  </si>
  <si>
    <t>Combine Pivot Tables, Charts, and Slicers into one layout.</t>
  </si>
  <si>
    <t>Integrated dashboard</t>
  </si>
  <si>
    <t>Apply corporate formatting and ensure the dashboard can be understood in 10 seconds.</t>
  </si>
  <si>
    <t>Executive-ready layout</t>
  </si>
  <si>
    <t>Build a complete interactive sales dashboard answering which region, product, and salesperson generated the highest revenue.</t>
  </si>
  <si>
    <t>Interactive dashboard</t>
  </si>
  <si>
    <t>Hidden Instructor Answer Key</t>
  </si>
  <si>
    <t>This sheet is hidden. It contains all expected answers, formulas, and teaching objectives.</t>
  </si>
  <si>
    <t>Sheet</t>
  </si>
  <si>
    <t>VLOOKUP_FALSE</t>
  </si>
  <si>
    <t>VLOOKUP_TRUE</t>
  </si>
  <si>
    <t>INDEX_MATCH</t>
  </si>
  <si>
    <t>Nested_IF</t>
  </si>
  <si>
    <t>Data_Cleaning</t>
  </si>
  <si>
    <t>Pivot_Tables</t>
  </si>
  <si>
    <t>Pivot_Charts</t>
  </si>
  <si>
    <t>Dashboard_Project</t>
  </si>
  <si>
    <t>Question</t>
  </si>
  <si>
    <t>Answer</t>
  </si>
  <si>
    <t>NAME</t>
  </si>
  <si>
    <t>Change id in K5 and get Name , Department, City and Salary</t>
  </si>
  <si>
    <t>Change L13  and grade will automatically update</t>
  </si>
  <si>
    <t>Questin</t>
  </si>
  <si>
    <t>Answers</t>
  </si>
  <si>
    <t>Row Number</t>
  </si>
  <si>
    <t>Column Number</t>
  </si>
  <si>
    <t>CHANGE ROW AND COLUMN NUMBER IN J5 , J6 AND YOU WILL GET CELL NUMBER</t>
  </si>
  <si>
    <t>Type id in J5 and you will get row number in j7</t>
  </si>
  <si>
    <t>Result</t>
  </si>
  <si>
    <t>ENTER ID IN I5 AND YOU WILL GET NAME IN J6</t>
  </si>
  <si>
    <t>DEPT</t>
  </si>
  <si>
    <t>Finanace</t>
  </si>
  <si>
    <t>EMP</t>
  </si>
  <si>
    <t>Questions</t>
  </si>
  <si>
    <t>Sum of Revenue</t>
  </si>
  <si>
    <t>Row Labels</t>
  </si>
  <si>
    <t>Grand Total</t>
  </si>
  <si>
    <t>Jan</t>
  </si>
  <si>
    <t>Feb</t>
  </si>
  <si>
    <t>Mar</t>
  </si>
  <si>
    <t>Apr</t>
  </si>
  <si>
    <t>May</t>
  </si>
  <si>
    <t>Jun</t>
  </si>
  <si>
    <t>Jul</t>
  </si>
  <si>
    <t>Aug</t>
  </si>
  <si>
    <t>Sep</t>
  </si>
  <si>
    <t>Oct</t>
  </si>
  <si>
    <t>1. Show total revenue by Region.</t>
  </si>
  <si>
    <t>2. Show total revenue by Product.</t>
  </si>
  <si>
    <t>3. Show monthly revenue totals.</t>
  </si>
  <si>
    <t>4. Show average revenue by Region.</t>
  </si>
  <si>
    <t>Sum of Units Sold</t>
  </si>
  <si>
    <t>5. Show total units sold by Product.</t>
  </si>
  <si>
    <t>6. Show number of sales records by salesperson.</t>
  </si>
  <si>
    <t>7. Identify the top-performing Region using Pivot Table totals.</t>
  </si>
  <si>
    <t>WEST</t>
  </si>
  <si>
    <t>8. Identify the top-performing Product using Pivot Table totals.</t>
  </si>
  <si>
    <t>LAPTOP</t>
  </si>
  <si>
    <t>1. Create a column chart for revenue by Region.</t>
  </si>
  <si>
    <t>2. Create a bar chart for revenue by Product.</t>
  </si>
  <si>
    <t>Column or bar chart , because heights make comparison easy</t>
  </si>
  <si>
    <t>5. Choose the best chart for showing monthly trend.</t>
  </si>
  <si>
    <t>4. Choose the best chart for comparing regions and explain why.</t>
  </si>
  <si>
    <t>6. Create a Pivot Chart connected to the revenue Pivot Table.</t>
  </si>
  <si>
    <t>7. Create a chart that updates when the Pivot Table filter changes.</t>
  </si>
  <si>
    <t>Change filters and we will get updated chart</t>
  </si>
  <si>
    <t>3. Create a line chart for monthly revenue.</t>
  </si>
  <si>
    <t>8. Show product revenue comparison using a Pivot Chart.</t>
  </si>
  <si>
    <t>9. Create a chart that highlights the top region visually.</t>
  </si>
  <si>
    <t>10. Build a chart set for an executive dashboard: revenue trend, region comparison, and product mix.</t>
  </si>
  <si>
    <t>1. Add a slicer for Region.</t>
  </si>
  <si>
    <t>2. Add a slicer for Product.</t>
  </si>
  <si>
    <t>3. Filter the Pivot Table to show only North region.</t>
  </si>
  <si>
    <t>4. Connect one slicer to more than one Pivot Table.</t>
  </si>
  <si>
    <t>5. Use two slicers together to filter Region and Product.</t>
  </si>
  <si>
    <t>6. Show only Laptop sales from the South region.</t>
  </si>
  <si>
    <t>7. Create a slicer-based report that updates multiple charts.</t>
  </si>
  <si>
    <t>8. Use a slicer to compare sales across months.</t>
  </si>
  <si>
    <t>9. Demonstrate how slicers help non-technical users analyze data.</t>
  </si>
  <si>
    <t>One-click filtering</t>
  </si>
  <si>
    <t>No formulas needed</t>
  </si>
  <si>
    <t>Easy dashboard interaction</t>
  </si>
  <si>
    <t>EX - Ques - 7</t>
  </si>
  <si>
    <t>Manager clicks "West"</t>
  </si>
  <si>
    <t>Immediately sees:</t>
  </si>
  <si>
    <t>West revenue</t>
  </si>
  <si>
    <t>West products</t>
  </si>
  <si>
    <t>West performance</t>
  </si>
  <si>
    <t>10. Build an interactive filter panel for a dashboard using Region, Product, and Month slicers.</t>
  </si>
  <si>
    <t xml:space="preserve">Question </t>
  </si>
  <si>
    <t>Total Revenue</t>
  </si>
  <si>
    <t>Total Units Sold</t>
  </si>
  <si>
    <t>Number of Orders</t>
  </si>
  <si>
    <r>
      <t xml:space="preserve">Best Region = </t>
    </r>
    <r>
      <rPr>
        <b/>
        <sz val="11"/>
        <color theme="1"/>
        <rFont val="Calibri"/>
        <family val="2"/>
        <scheme val="minor"/>
      </rPr>
      <t>West</t>
    </r>
    <r>
      <rPr>
        <sz val="11"/>
        <color theme="1"/>
        <rFont val="Calibri"/>
        <family val="2"/>
        <scheme val="minor"/>
      </rPr>
      <t xml:space="preserve"> (₹41,23,245)</t>
    </r>
  </si>
  <si>
    <r>
      <t xml:space="preserve">Best Product = </t>
    </r>
    <r>
      <rPr>
        <b/>
        <sz val="11"/>
        <color theme="1"/>
        <rFont val="Calibri"/>
        <family val="2"/>
        <scheme val="minor"/>
      </rPr>
      <t>Laptop</t>
    </r>
    <r>
      <rPr>
        <sz val="11"/>
        <color theme="1"/>
        <rFont val="Calibri"/>
        <family val="2"/>
        <scheme val="minor"/>
      </rPr>
      <t xml:space="preserve"> (₹55,58,838)</t>
    </r>
  </si>
  <si>
    <r>
      <t xml:space="preserve">Highest Revenue Product Category = </t>
    </r>
    <r>
      <rPr>
        <b/>
        <sz val="11"/>
        <color theme="1"/>
        <rFont val="Calibri"/>
        <family val="2"/>
        <scheme val="minor"/>
      </rPr>
      <t>Laptop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</si>
</sst>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6"/>
      <color rgb="FFFFFFFF"/>
      <name val="Calibri"/>
    </font>
    <font>
      <i/>
      <sz val="11"/>
      <color rgb="FF404040"/>
      <name val="Calibri"/>
    </font>
    <font>
      <b/>
      <sz val="11"/>
      <name val="Calibri"/>
    </font>
    <font>
      <b/>
      <sz val="11"/>
      <color rgb="FF163A5F"/>
      <name val="Calibri"/>
    </font>
    <font>
      <sz val="11"/>
      <name val="Calibri"/>
      <family val="2"/>
    </font>
    <font>
      <b/>
      <sz val="11"/>
      <name val="Calibri"/>
      <family val="2"/>
    </font>
    <font>
      <b/>
      <sz val="11"/>
      <color theme="1"/>
      <name val="Calibri"/>
      <family val="2"/>
      <scheme val="minor"/>
    </font>
  </fonts>
  <fills count="21">
    <fill>
      <patternFill patternType="none"/>
    </fill>
    <fill>
      <patternFill patternType="gray125"/>
    </fill>
    <fill>
      <patternFill patternType="solid">
        <fgColor rgb="FF1F4E78"/>
      </patternFill>
    </fill>
    <fill>
      <patternFill patternType="solid">
        <fgColor rgb="FFF3F6F9"/>
      </patternFill>
    </fill>
    <fill>
      <patternFill patternType="solid">
        <fgColor rgb="FFC6EFCE"/>
      </patternFill>
    </fill>
    <fill>
      <patternFill patternType="solid">
        <fgColor rgb="FFFFEB9C"/>
      </patternFill>
    </fill>
    <fill>
      <patternFill patternType="solid">
        <fgColor rgb="FFF4CCCC"/>
      </patternFill>
    </fill>
    <fill>
      <patternFill patternType="solid">
        <fgColor rgb="FFD9D2E9"/>
      </patternFill>
    </fill>
    <fill>
      <patternFill patternType="solid">
        <fgColor rgb="FFB4C6E7"/>
      </patternFill>
    </fill>
    <fill>
      <patternFill patternType="solid">
        <fgColor rgb="FFE2F0D9"/>
      </patternFill>
    </fill>
    <fill>
      <patternFill patternType="solid">
        <fgColor theme="9" tint="0.39997558519241921"/>
        <bgColor indexed="64"/>
      </patternFill>
    </fill>
    <fill>
      <patternFill patternType="solid">
        <fgColor theme="9" tint="-0.249977111117893"/>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2" tint="-0.249977111117893"/>
        <bgColor indexed="64"/>
      </patternFill>
    </fill>
  </fills>
  <borders count="6">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diagonal/>
    </border>
    <border>
      <left style="thin">
        <color rgb="FFB7B7B7"/>
      </left>
      <right/>
      <top/>
      <bottom/>
      <diagonal/>
    </border>
    <border>
      <left style="thin">
        <color indexed="64"/>
      </left>
      <right style="thin">
        <color indexed="64"/>
      </right>
      <top style="thin">
        <color indexed="64"/>
      </top>
      <bottom style="thin">
        <color indexed="64"/>
      </bottom>
      <diagonal/>
    </border>
    <border>
      <left style="thin">
        <color rgb="FFB7B7B7"/>
      </left>
      <right/>
      <top style="thin">
        <color rgb="FFB7B7B7"/>
      </top>
      <bottom style="thin">
        <color rgb="FFB7B7B7"/>
      </bottom>
      <diagonal/>
    </border>
  </borders>
  <cellStyleXfs count="1">
    <xf numFmtId="0" fontId="0" fillId="0" borderId="0"/>
  </cellStyleXfs>
  <cellXfs count="73">
    <xf numFmtId="0" fontId="0" fillId="0" borderId="0" xfId="0"/>
    <xf numFmtId="0" fontId="1" fillId="2" borderId="0" xfId="0" applyFont="1" applyFill="1" applyAlignment="1">
      <alignment horizontal="left"/>
    </xf>
    <xf numFmtId="0" fontId="2" fillId="3" borderId="0" xfId="0" applyFont="1" applyFill="1"/>
    <xf numFmtId="0" fontId="3" fillId="4" borderId="1" xfId="0" applyFont="1" applyFill="1" applyBorder="1" applyAlignment="1">
      <alignment horizontal="center"/>
    </xf>
    <xf numFmtId="0" fontId="3" fillId="5" borderId="1" xfId="0" applyFont="1" applyFill="1" applyBorder="1" applyAlignment="1">
      <alignment horizontal="center"/>
    </xf>
    <xf numFmtId="0" fontId="3" fillId="6" borderId="1" xfId="0" applyFont="1" applyFill="1" applyBorder="1" applyAlignment="1">
      <alignment horizontal="center"/>
    </xf>
    <xf numFmtId="0" fontId="3" fillId="7" borderId="1" xfId="0" applyFont="1" applyFill="1" applyBorder="1" applyAlignment="1">
      <alignment horizontal="center"/>
    </xf>
    <xf numFmtId="0" fontId="4" fillId="0" borderId="0" xfId="0" applyFont="1"/>
    <xf numFmtId="0" fontId="3" fillId="8" borderId="1" xfId="0" applyFont="1" applyFill="1" applyBorder="1"/>
    <xf numFmtId="0" fontId="0" fillId="0" borderId="1" xfId="0" applyBorder="1"/>
    <xf numFmtId="0" fontId="3" fillId="9" borderId="1" xfId="0" applyFont="1" applyFill="1" applyBorder="1"/>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3" fillId="8" borderId="1" xfId="0" applyFont="1" applyFill="1" applyBorder="1" applyAlignment="1">
      <alignment horizontal="center" wrapText="1"/>
    </xf>
    <xf numFmtId="164" fontId="0" fillId="0" borderId="1" xfId="0" applyNumberFormat="1" applyBorder="1" applyAlignment="1">
      <alignment vertical="top" wrapText="1"/>
    </xf>
    <xf numFmtId="0" fontId="3" fillId="9" borderId="2" xfId="0" applyFont="1" applyFill="1" applyBorder="1"/>
    <xf numFmtId="0" fontId="0" fillId="10" borderId="4" xfId="0" applyFill="1" applyBorder="1"/>
    <xf numFmtId="0" fontId="3" fillId="11" borderId="4" xfId="0" applyFont="1" applyFill="1" applyBorder="1"/>
    <xf numFmtId="0" fontId="3" fillId="9" borderId="5" xfId="0" applyFont="1" applyFill="1" applyBorder="1"/>
    <xf numFmtId="0" fontId="0" fillId="0" borderId="5" xfId="0" applyBorder="1" applyAlignment="1">
      <alignment vertical="top" wrapText="1"/>
    </xf>
    <xf numFmtId="0" fontId="0" fillId="12" borderId="4" xfId="0" applyFill="1" applyBorder="1"/>
    <xf numFmtId="0" fontId="0" fillId="12" borderId="4" xfId="0" applyFill="1" applyBorder="1" applyAlignment="1">
      <alignment vertical="top" wrapText="1"/>
    </xf>
    <xf numFmtId="0" fontId="3" fillId="13" borderId="4" xfId="0" applyFont="1" applyFill="1" applyBorder="1"/>
    <xf numFmtId="0" fontId="0" fillId="13" borderId="0" xfId="0" applyFill="1"/>
    <xf numFmtId="0" fontId="3" fillId="12" borderId="0" xfId="0" applyFont="1" applyFill="1"/>
    <xf numFmtId="0" fontId="0" fillId="12" borderId="0" xfId="0" applyFill="1"/>
    <xf numFmtId="0" fontId="0" fillId="12" borderId="3" xfId="0" applyFill="1" applyBorder="1" applyAlignment="1">
      <alignment vertical="top" wrapText="1"/>
    </xf>
    <xf numFmtId="0" fontId="3" fillId="13" borderId="2" xfId="0" applyFont="1" applyFill="1" applyBorder="1"/>
    <xf numFmtId="0" fontId="3" fillId="8" borderId="5" xfId="0" applyFont="1" applyFill="1" applyBorder="1"/>
    <xf numFmtId="0" fontId="0" fillId="0" borderId="5" xfId="0" applyBorder="1"/>
    <xf numFmtId="0" fontId="0" fillId="13" borderId="4" xfId="0" applyFill="1" applyBorder="1"/>
    <xf numFmtId="0" fontId="3" fillId="12" borderId="2" xfId="0" applyFont="1" applyFill="1" applyBorder="1"/>
    <xf numFmtId="0" fontId="0" fillId="12" borderId="4" xfId="0" applyFill="1" applyBorder="1" applyAlignment="1">
      <alignment wrapText="1"/>
    </xf>
    <xf numFmtId="0" fontId="0" fillId="13" borderId="4" xfId="0" applyFill="1" applyBorder="1" applyAlignment="1">
      <alignment wrapText="1"/>
    </xf>
    <xf numFmtId="0" fontId="5" fillId="13" borderId="2" xfId="0" applyFont="1" applyFill="1" applyBorder="1"/>
    <xf numFmtId="0" fontId="6" fillId="9" borderId="2" xfId="0" applyFont="1" applyFill="1" applyBorder="1"/>
    <xf numFmtId="0" fontId="6" fillId="13" borderId="4" xfId="0" applyFont="1" applyFill="1" applyBorder="1"/>
    <xf numFmtId="0" fontId="0" fillId="0" borderId="0" xfId="0" applyNumberFormat="1"/>
    <xf numFmtId="0" fontId="0" fillId="0" borderId="0" xfId="0" pivotButton="1"/>
    <xf numFmtId="0" fontId="0" fillId="0" borderId="0" xfId="0" applyAlignment="1">
      <alignment horizontal="left"/>
    </xf>
    <xf numFmtId="0" fontId="0" fillId="14" borderId="0" xfId="0" applyFill="1"/>
    <xf numFmtId="0" fontId="0" fillId="14" borderId="0" xfId="0" applyFill="1" applyAlignment="1">
      <alignment horizontal="left"/>
    </xf>
    <xf numFmtId="0" fontId="0" fillId="14" borderId="0" xfId="0" applyNumberFormat="1" applyFill="1"/>
    <xf numFmtId="0" fontId="0" fillId="15" borderId="0" xfId="0" applyFill="1"/>
    <xf numFmtId="0" fontId="0" fillId="15" borderId="0" xfId="0" applyFill="1" applyAlignment="1">
      <alignment horizontal="left"/>
    </xf>
    <xf numFmtId="0" fontId="0" fillId="15" borderId="0" xfId="0" applyNumberFormat="1" applyFill="1"/>
    <xf numFmtId="0" fontId="0" fillId="16" borderId="0" xfId="0" applyFill="1"/>
    <xf numFmtId="0" fontId="0" fillId="16" borderId="0" xfId="0" applyFill="1" applyAlignment="1">
      <alignment horizontal="left"/>
    </xf>
    <xf numFmtId="0" fontId="0" fillId="16" borderId="0" xfId="0" applyNumberFormat="1" applyFill="1"/>
    <xf numFmtId="0" fontId="0" fillId="17" borderId="0" xfId="0" applyFill="1"/>
    <xf numFmtId="0" fontId="0" fillId="18" borderId="0" xfId="0" applyFill="1"/>
    <xf numFmtId="0" fontId="0" fillId="18" borderId="0" xfId="0" applyFill="1" applyAlignment="1">
      <alignment horizontal="left"/>
    </xf>
    <xf numFmtId="0" fontId="0" fillId="18" borderId="0" xfId="0" applyNumberFormat="1" applyFill="1"/>
    <xf numFmtId="0" fontId="0" fillId="18" borderId="0" xfId="0" applyFill="1" applyAlignment="1">
      <alignment horizontal="left" indent="1"/>
    </xf>
    <xf numFmtId="0" fontId="0" fillId="19" borderId="0" xfId="0" applyFill="1"/>
    <xf numFmtId="0" fontId="0" fillId="19" borderId="0" xfId="0" applyFill="1" applyAlignment="1">
      <alignment horizontal="left"/>
    </xf>
    <xf numFmtId="0" fontId="0" fillId="19" borderId="0" xfId="0" applyNumberFormat="1" applyFill="1"/>
    <xf numFmtId="0" fontId="0" fillId="12" borderId="0" xfId="0" applyFill="1" applyAlignment="1">
      <alignment horizontal="left"/>
    </xf>
    <xf numFmtId="0" fontId="0" fillId="12" borderId="0" xfId="0" applyNumberFormat="1" applyFill="1"/>
    <xf numFmtId="0" fontId="0" fillId="20" borderId="0" xfId="0" applyFill="1"/>
    <xf numFmtId="0" fontId="0" fillId="20" borderId="0" xfId="0" applyFill="1" applyAlignment="1">
      <alignment horizontal="left" vertical="center" indent="1"/>
    </xf>
    <xf numFmtId="0" fontId="3" fillId="9" borderId="4" xfId="0" applyFont="1" applyFill="1" applyBorder="1"/>
    <xf numFmtId="0" fontId="0" fillId="0" borderId="4" xfId="0" applyBorder="1"/>
    <xf numFmtId="0" fontId="0" fillId="0" borderId="4" xfId="0" pivotButton="1" applyBorder="1"/>
    <xf numFmtId="0" fontId="0" fillId="0" borderId="4" xfId="0" applyBorder="1" applyAlignment="1">
      <alignment horizontal="left"/>
    </xf>
    <xf numFmtId="0" fontId="0" fillId="0" borderId="4" xfId="0" applyNumberFormat="1" applyBorder="1"/>
    <xf numFmtId="0" fontId="0" fillId="0" borderId="0" xfId="0" applyBorder="1"/>
    <xf numFmtId="0" fontId="0" fillId="0" borderId="0" xfId="0" pivotButton="1" applyBorder="1"/>
    <xf numFmtId="0" fontId="0" fillId="0" borderId="0" xfId="0" applyBorder="1" applyAlignment="1">
      <alignment horizontal="left"/>
    </xf>
    <xf numFmtId="0" fontId="0" fillId="0" borderId="0" xfId="0" applyNumberFormat="1" applyBorder="1"/>
  </cellXfs>
  <cellStyles count="1">
    <cellStyle name="Normal" xfId="0" builtinId="0"/>
  </cellStyles>
  <dxfs count="141">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right/>
        <top/>
        <bottom/>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0" tint="-0.14999847407452621"/>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4.xml"/><Relationship Id="rId21" Type="http://schemas.openxmlformats.org/officeDocument/2006/relationships/pivotCacheDefinition" Target="pivotCache/pivotCacheDefinition3.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3.xml"/><Relationship Id="rId33" Type="http://schemas.microsoft.com/office/2007/relationships/slicerCache" Target="slicerCaches/slicerCache1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microsoft.com/office/2007/relationships/slicerCache" Target="slicerCaches/slicerCache10.xml"/><Relationship Id="rId37"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Pivot_Charts!$B$120</c:f>
              <c:strCache>
                <c:ptCount val="1"/>
                <c:pt idx="0">
                  <c:v>Total</c:v>
                </c:pt>
              </c:strCache>
            </c:strRef>
          </c:tx>
          <c:spPr>
            <a:solidFill>
              <a:schemeClr val="accent1"/>
            </a:solidFill>
            <a:ln>
              <a:noFill/>
            </a:ln>
            <a:effectLst/>
          </c:spPr>
          <c:invertIfNegative val="0"/>
          <c:cat>
            <c:strRef>
              <c:f>Pivot_Charts!$A$121:$A$125</c:f>
              <c:strCache>
                <c:ptCount val="4"/>
                <c:pt idx="0">
                  <c:v>East</c:v>
                </c:pt>
                <c:pt idx="1">
                  <c:v>North</c:v>
                </c:pt>
                <c:pt idx="2">
                  <c:v>South</c:v>
                </c:pt>
                <c:pt idx="3">
                  <c:v>West</c:v>
                </c:pt>
              </c:strCache>
            </c:strRef>
          </c:cat>
          <c:val>
            <c:numRef>
              <c:f>Pivot_Charts!$B$121:$B$125</c:f>
              <c:numCache>
                <c:formatCode>General</c:formatCode>
                <c:ptCount val="4"/>
                <c:pt idx="0">
                  <c:v>2402395</c:v>
                </c:pt>
                <c:pt idx="1">
                  <c:v>1389769</c:v>
                </c:pt>
                <c:pt idx="2">
                  <c:v>3929486</c:v>
                </c:pt>
                <c:pt idx="3">
                  <c:v>4123245</c:v>
                </c:pt>
              </c:numCache>
            </c:numRef>
          </c:val>
          <c:extLst>
            <c:ext xmlns:c16="http://schemas.microsoft.com/office/drawing/2014/chart" uri="{C3380CC4-5D6E-409C-BE32-E72D297353CC}">
              <c16:uniqueId val="{00000000-0D61-4FE0-8428-F0E0D2913843}"/>
            </c:ext>
          </c:extLst>
        </c:ser>
        <c:dLbls>
          <c:showLegendKey val="0"/>
          <c:showVal val="0"/>
          <c:showCatName val="0"/>
          <c:showSerName val="0"/>
          <c:showPercent val="0"/>
          <c:showBubbleSize val="0"/>
        </c:dLbls>
        <c:gapWidth val="219"/>
        <c:overlap val="-27"/>
        <c:axId val="611138799"/>
        <c:axId val="611139279"/>
      </c:barChart>
      <c:catAx>
        <c:axId val="61113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9279"/>
        <c:crosses val="autoZero"/>
        <c:auto val="1"/>
        <c:lblAlgn val="ctr"/>
        <c:lblOffset val="100"/>
        <c:noMultiLvlLbl val="0"/>
      </c:catAx>
      <c:valAx>
        <c:axId val="611139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8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Pivot_Charts!$G$120</c:f>
              <c:strCache>
                <c:ptCount val="1"/>
                <c:pt idx="0">
                  <c:v>Total</c:v>
                </c:pt>
              </c:strCache>
            </c:strRef>
          </c:tx>
          <c:spPr>
            <a:solidFill>
              <a:schemeClr val="accent1"/>
            </a:solidFill>
            <a:ln>
              <a:noFill/>
            </a:ln>
            <a:effectLst/>
          </c:spPr>
          <c:invertIfNegative val="0"/>
          <c:cat>
            <c:strRef>
              <c:f>Pivot_Charts!$F$121:$F$127</c:f>
              <c:strCache>
                <c:ptCount val="6"/>
                <c:pt idx="0">
                  <c:v>Headset</c:v>
                </c:pt>
                <c:pt idx="1">
                  <c:v>Keyboard</c:v>
                </c:pt>
                <c:pt idx="2">
                  <c:v>Laptop</c:v>
                </c:pt>
                <c:pt idx="3">
                  <c:v>Mobile</c:v>
                </c:pt>
                <c:pt idx="4">
                  <c:v>Monitor</c:v>
                </c:pt>
                <c:pt idx="5">
                  <c:v>Tablet</c:v>
                </c:pt>
              </c:strCache>
            </c:strRef>
          </c:cat>
          <c:val>
            <c:numRef>
              <c:f>Pivot_Charts!$G$121:$G$127</c:f>
              <c:numCache>
                <c:formatCode>General</c:formatCode>
                <c:ptCount val="6"/>
                <c:pt idx="0">
                  <c:v>665987</c:v>
                </c:pt>
                <c:pt idx="1">
                  <c:v>327841</c:v>
                </c:pt>
                <c:pt idx="2">
                  <c:v>5558838</c:v>
                </c:pt>
                <c:pt idx="3">
                  <c:v>1943801</c:v>
                </c:pt>
                <c:pt idx="4">
                  <c:v>829400</c:v>
                </c:pt>
                <c:pt idx="5">
                  <c:v>2519028</c:v>
                </c:pt>
              </c:numCache>
            </c:numRef>
          </c:val>
          <c:extLst>
            <c:ext xmlns:c16="http://schemas.microsoft.com/office/drawing/2014/chart" uri="{C3380CC4-5D6E-409C-BE32-E72D297353CC}">
              <c16:uniqueId val="{00000000-FB05-4A03-9161-D771E0C72834}"/>
            </c:ext>
          </c:extLst>
        </c:ser>
        <c:dLbls>
          <c:showLegendKey val="0"/>
          <c:showVal val="0"/>
          <c:showCatName val="0"/>
          <c:showSerName val="0"/>
          <c:showPercent val="0"/>
          <c:showBubbleSize val="0"/>
        </c:dLbls>
        <c:gapWidth val="182"/>
        <c:axId val="611143119"/>
        <c:axId val="611143599"/>
      </c:barChart>
      <c:catAx>
        <c:axId val="61114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3599"/>
        <c:crosses val="autoZero"/>
        <c:auto val="1"/>
        <c:lblAlgn val="ctr"/>
        <c:lblOffset val="100"/>
        <c:noMultiLvlLbl val="0"/>
      </c:catAx>
      <c:valAx>
        <c:axId val="611143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Pivot_Charts!$B$132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Pivot_Charts!$A$133:$A$143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Pivot_Charts!$B$133:$B$143</c:f>
              <c:numCache>
                <c:formatCode>General</c:formatCode>
                <c:ptCount val="10"/>
                <c:pt idx="0">
                  <c:v>2279565</c:v>
                </c:pt>
                <c:pt idx="1">
                  <c:v>436468</c:v>
                </c:pt>
                <c:pt idx="2">
                  <c:v>839233</c:v>
                </c:pt>
                <c:pt idx="3">
                  <c:v>947184</c:v>
                </c:pt>
                <c:pt idx="4">
                  <c:v>943067</c:v>
                </c:pt>
                <c:pt idx="5">
                  <c:v>1566518</c:v>
                </c:pt>
                <c:pt idx="6">
                  <c:v>1815152</c:v>
                </c:pt>
                <c:pt idx="7">
                  <c:v>825600</c:v>
                </c:pt>
                <c:pt idx="8">
                  <c:v>1580704</c:v>
                </c:pt>
                <c:pt idx="9">
                  <c:v>611404</c:v>
                </c:pt>
              </c:numCache>
            </c:numRef>
          </c:val>
          <c:smooth val="0"/>
          <c:extLst>
            <c:ext xmlns:c16="http://schemas.microsoft.com/office/drawing/2014/chart" uri="{C3380CC4-5D6E-409C-BE32-E72D297353CC}">
              <c16:uniqueId val="{00000000-569C-473B-89C1-11CC0B9B07E7}"/>
            </c:ext>
          </c:extLst>
        </c:ser>
        <c:dLbls>
          <c:showLegendKey val="0"/>
          <c:showVal val="0"/>
          <c:showCatName val="0"/>
          <c:showSerName val="0"/>
          <c:showPercent val="0"/>
          <c:showBubbleSize val="0"/>
        </c:dLbls>
        <c:marker val="1"/>
        <c:smooth val="0"/>
        <c:axId val="611130159"/>
        <c:axId val="611137359"/>
      </c:lineChart>
      <c:catAx>
        <c:axId val="6111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7359"/>
        <c:crosses val="autoZero"/>
        <c:auto val="1"/>
        <c:lblAlgn val="ctr"/>
        <c:lblOffset val="100"/>
        <c:noMultiLvlLbl val="0"/>
      </c:catAx>
      <c:valAx>
        <c:axId val="6111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634398641346"/>
          <c:y val="0.27853748785988913"/>
          <c:w val="0.70387454910382197"/>
          <c:h val="0.49109417515471115"/>
        </c:manualLayout>
      </c:layout>
      <c:barChart>
        <c:barDir val="col"/>
        <c:grouping val="clustered"/>
        <c:varyColors val="0"/>
        <c:ser>
          <c:idx val="0"/>
          <c:order val="0"/>
          <c:tx>
            <c:strRef>
              <c:f>Pivot_Charts!$B$120</c:f>
              <c:strCache>
                <c:ptCount val="1"/>
                <c:pt idx="0">
                  <c:v>Total</c:v>
                </c:pt>
              </c:strCache>
            </c:strRef>
          </c:tx>
          <c:spPr>
            <a:solidFill>
              <a:schemeClr val="accent1"/>
            </a:solidFill>
            <a:ln>
              <a:noFill/>
            </a:ln>
            <a:effectLst/>
          </c:spPr>
          <c:invertIfNegative val="0"/>
          <c:cat>
            <c:strRef>
              <c:f>Pivot_Charts!$A$121:$A$125</c:f>
              <c:strCache>
                <c:ptCount val="4"/>
                <c:pt idx="0">
                  <c:v>East</c:v>
                </c:pt>
                <c:pt idx="1">
                  <c:v>North</c:v>
                </c:pt>
                <c:pt idx="2">
                  <c:v>South</c:v>
                </c:pt>
                <c:pt idx="3">
                  <c:v>West</c:v>
                </c:pt>
              </c:strCache>
            </c:strRef>
          </c:cat>
          <c:val>
            <c:numRef>
              <c:f>Pivot_Charts!$B$121:$B$125</c:f>
              <c:numCache>
                <c:formatCode>General</c:formatCode>
                <c:ptCount val="4"/>
                <c:pt idx="0">
                  <c:v>2402395</c:v>
                </c:pt>
                <c:pt idx="1">
                  <c:v>1389769</c:v>
                </c:pt>
                <c:pt idx="2">
                  <c:v>3929486</c:v>
                </c:pt>
                <c:pt idx="3">
                  <c:v>4123245</c:v>
                </c:pt>
              </c:numCache>
            </c:numRef>
          </c:val>
          <c:extLst>
            <c:ext xmlns:c16="http://schemas.microsoft.com/office/drawing/2014/chart" uri="{C3380CC4-5D6E-409C-BE32-E72D297353CC}">
              <c16:uniqueId val="{00000000-D76A-48F5-905F-FD08433B8D21}"/>
            </c:ext>
          </c:extLst>
        </c:ser>
        <c:dLbls>
          <c:showLegendKey val="0"/>
          <c:showVal val="0"/>
          <c:showCatName val="0"/>
          <c:showSerName val="0"/>
          <c:showPercent val="0"/>
          <c:showBubbleSize val="0"/>
        </c:dLbls>
        <c:gapWidth val="219"/>
        <c:overlap val="-27"/>
        <c:axId val="852134255"/>
        <c:axId val="852130895"/>
      </c:barChart>
      <c:catAx>
        <c:axId val="8521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0895"/>
        <c:crosses val="autoZero"/>
        <c:auto val="1"/>
        <c:lblAlgn val="ctr"/>
        <c:lblOffset val="100"/>
        <c:noMultiLvlLbl val="0"/>
      </c:catAx>
      <c:valAx>
        <c:axId val="8521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Pivot_Charts!$G$120</c:f>
              <c:strCache>
                <c:ptCount val="1"/>
                <c:pt idx="0">
                  <c:v>Total</c:v>
                </c:pt>
              </c:strCache>
            </c:strRef>
          </c:tx>
          <c:spPr>
            <a:solidFill>
              <a:schemeClr val="accent1"/>
            </a:solidFill>
            <a:ln>
              <a:noFill/>
            </a:ln>
            <a:effectLst/>
          </c:spPr>
          <c:invertIfNegative val="0"/>
          <c:cat>
            <c:strRef>
              <c:f>Pivot_Charts!$F$121:$F$127</c:f>
              <c:strCache>
                <c:ptCount val="6"/>
                <c:pt idx="0">
                  <c:v>Headset</c:v>
                </c:pt>
                <c:pt idx="1">
                  <c:v>Keyboard</c:v>
                </c:pt>
                <c:pt idx="2">
                  <c:v>Laptop</c:v>
                </c:pt>
                <c:pt idx="3">
                  <c:v>Mobile</c:v>
                </c:pt>
                <c:pt idx="4">
                  <c:v>Monitor</c:v>
                </c:pt>
                <c:pt idx="5">
                  <c:v>Tablet</c:v>
                </c:pt>
              </c:strCache>
            </c:strRef>
          </c:cat>
          <c:val>
            <c:numRef>
              <c:f>Pivot_Charts!$G$121:$G$127</c:f>
              <c:numCache>
                <c:formatCode>General</c:formatCode>
                <c:ptCount val="6"/>
                <c:pt idx="0">
                  <c:v>665987</c:v>
                </c:pt>
                <c:pt idx="1">
                  <c:v>327841</c:v>
                </c:pt>
                <c:pt idx="2">
                  <c:v>5558838</c:v>
                </c:pt>
                <c:pt idx="3">
                  <c:v>1943801</c:v>
                </c:pt>
                <c:pt idx="4">
                  <c:v>829400</c:v>
                </c:pt>
                <c:pt idx="5">
                  <c:v>2519028</c:v>
                </c:pt>
              </c:numCache>
            </c:numRef>
          </c:val>
          <c:extLst>
            <c:ext xmlns:c16="http://schemas.microsoft.com/office/drawing/2014/chart" uri="{C3380CC4-5D6E-409C-BE32-E72D297353CC}">
              <c16:uniqueId val="{00000000-DBB9-4471-AA90-C8D65EF2A047}"/>
            </c:ext>
          </c:extLst>
        </c:ser>
        <c:dLbls>
          <c:showLegendKey val="0"/>
          <c:showVal val="0"/>
          <c:showCatName val="0"/>
          <c:showSerName val="0"/>
          <c:showPercent val="0"/>
          <c:showBubbleSize val="0"/>
        </c:dLbls>
        <c:gapWidth val="182"/>
        <c:axId val="611143119"/>
        <c:axId val="611143599"/>
      </c:barChart>
      <c:catAx>
        <c:axId val="611143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3599"/>
        <c:crosses val="autoZero"/>
        <c:auto val="1"/>
        <c:lblAlgn val="ctr"/>
        <c:lblOffset val="100"/>
        <c:noMultiLvlLbl val="0"/>
      </c:catAx>
      <c:valAx>
        <c:axId val="6111435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4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Pivot_Charts!$G$120</c:f>
              <c:strCache>
                <c:ptCount val="1"/>
                <c:pt idx="0">
                  <c:v>Total</c:v>
                </c:pt>
              </c:strCache>
            </c:strRef>
          </c:tx>
          <c:spPr>
            <a:solidFill>
              <a:schemeClr val="accent1"/>
            </a:solidFill>
            <a:ln>
              <a:noFill/>
            </a:ln>
            <a:effectLst/>
            <a:sp3d/>
          </c:spPr>
          <c:invertIfNegative val="0"/>
          <c:cat>
            <c:strRef>
              <c:f>Pivot_Charts!$F$121:$F$127</c:f>
              <c:strCache>
                <c:ptCount val="6"/>
                <c:pt idx="0">
                  <c:v>Headset</c:v>
                </c:pt>
                <c:pt idx="1">
                  <c:v>Keyboard</c:v>
                </c:pt>
                <c:pt idx="2">
                  <c:v>Laptop</c:v>
                </c:pt>
                <c:pt idx="3">
                  <c:v>Mobile</c:v>
                </c:pt>
                <c:pt idx="4">
                  <c:v>Monitor</c:v>
                </c:pt>
                <c:pt idx="5">
                  <c:v>Tablet</c:v>
                </c:pt>
              </c:strCache>
            </c:strRef>
          </c:cat>
          <c:val>
            <c:numRef>
              <c:f>Pivot_Charts!$G$121:$G$127</c:f>
              <c:numCache>
                <c:formatCode>General</c:formatCode>
                <c:ptCount val="6"/>
                <c:pt idx="0">
                  <c:v>665987</c:v>
                </c:pt>
                <c:pt idx="1">
                  <c:v>327841</c:v>
                </c:pt>
                <c:pt idx="2">
                  <c:v>5558838</c:v>
                </c:pt>
                <c:pt idx="3">
                  <c:v>1943801</c:v>
                </c:pt>
                <c:pt idx="4">
                  <c:v>829400</c:v>
                </c:pt>
                <c:pt idx="5">
                  <c:v>2519028</c:v>
                </c:pt>
              </c:numCache>
            </c:numRef>
          </c:val>
          <c:extLst>
            <c:ext xmlns:c16="http://schemas.microsoft.com/office/drawing/2014/chart" uri="{C3380CC4-5D6E-409C-BE32-E72D297353CC}">
              <c16:uniqueId val="{00000000-1DA6-4DBB-BABA-0AAE30BF1D3D}"/>
            </c:ext>
          </c:extLst>
        </c:ser>
        <c:dLbls>
          <c:showLegendKey val="0"/>
          <c:showVal val="0"/>
          <c:showCatName val="0"/>
          <c:showSerName val="0"/>
          <c:showPercent val="0"/>
          <c:showBubbleSize val="0"/>
        </c:dLbls>
        <c:gapWidth val="150"/>
        <c:shape val="box"/>
        <c:axId val="852144335"/>
        <c:axId val="852135695"/>
        <c:axId val="0"/>
      </c:bar3DChart>
      <c:catAx>
        <c:axId val="85214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5695"/>
        <c:crosses val="autoZero"/>
        <c:auto val="1"/>
        <c:lblAlgn val="ctr"/>
        <c:lblOffset val="100"/>
        <c:noMultiLvlLbl val="0"/>
      </c:catAx>
      <c:valAx>
        <c:axId val="85213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4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[Reenu_2419938_excel_assignment.xlsx]Pivot_Charts!PivotTable9</c:name>
    <c:fmtId val="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Pivot_Charts!$F$154</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invertIfNegative val="0"/>
          <c:cat>
            <c:strRef>
              <c:f>Pivot_Charts!$E$155:$E$159</c:f>
              <c:strCache>
                <c:ptCount val="4"/>
                <c:pt idx="0">
                  <c:v>North</c:v>
                </c:pt>
                <c:pt idx="1">
                  <c:v>East</c:v>
                </c:pt>
                <c:pt idx="2">
                  <c:v>South</c:v>
                </c:pt>
                <c:pt idx="3">
                  <c:v>West</c:v>
                </c:pt>
              </c:strCache>
            </c:strRef>
          </c:cat>
          <c:val>
            <c:numRef>
              <c:f>Pivot_Charts!$F$155:$F$159</c:f>
              <c:numCache>
                <c:formatCode>General</c:formatCode>
                <c:ptCount val="4"/>
                <c:pt idx="0">
                  <c:v>1389769</c:v>
                </c:pt>
                <c:pt idx="1">
                  <c:v>2402395</c:v>
                </c:pt>
                <c:pt idx="2">
                  <c:v>3929486</c:v>
                </c:pt>
                <c:pt idx="3">
                  <c:v>4123245</c:v>
                </c:pt>
              </c:numCache>
            </c:numRef>
          </c:val>
          <c:extLst>
            <c:ext xmlns:c16="http://schemas.microsoft.com/office/drawing/2014/chart" uri="{C3380CC4-5D6E-409C-BE32-E72D297353CC}">
              <c16:uniqueId val="{00000000-C017-4E0B-AE73-3C4C6696EBCE}"/>
            </c:ext>
          </c:extLst>
        </c:ser>
        <c:dLbls>
          <c:showLegendKey val="0"/>
          <c:showVal val="0"/>
          <c:showCatName val="0"/>
          <c:showSerName val="0"/>
          <c:showPercent val="0"/>
          <c:showBubbleSize val="0"/>
        </c:dLbls>
        <c:gapWidth val="150"/>
        <c:shape val="box"/>
        <c:axId val="916092255"/>
        <c:axId val="916098975"/>
        <c:axId val="0"/>
      </c:bar3DChart>
      <c:catAx>
        <c:axId val="9160922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6098975"/>
        <c:crosses val="autoZero"/>
        <c:auto val="1"/>
        <c:lblAlgn val="ctr"/>
        <c:lblOffset val="100"/>
        <c:noMultiLvlLbl val="0"/>
      </c:catAx>
      <c:valAx>
        <c:axId val="916098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9160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[Reenu_2419938_excel_assignment.xlsx]Pivot_Charts!PivotTable8</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Pivot_Charts!$B$132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Pivot_Charts!$A$133:$A$143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Pivot_Charts!$B$133:$B$143</c:f>
              <c:numCache>
                <c:formatCode>General</c:formatCode>
                <c:ptCount val="10"/>
                <c:pt idx="0">
                  <c:v>2279565</c:v>
                </c:pt>
                <c:pt idx="1">
                  <c:v>436468</c:v>
                </c:pt>
                <c:pt idx="2">
                  <c:v>839233</c:v>
                </c:pt>
                <c:pt idx="3">
                  <c:v>947184</c:v>
                </c:pt>
                <c:pt idx="4">
                  <c:v>943067</c:v>
                </c:pt>
                <c:pt idx="5">
                  <c:v>1566518</c:v>
                </c:pt>
                <c:pt idx="6">
                  <c:v>1815152</c:v>
                </c:pt>
                <c:pt idx="7">
                  <c:v>825600</c:v>
                </c:pt>
                <c:pt idx="8">
                  <c:v>1580704</c:v>
                </c:pt>
                <c:pt idx="9">
                  <c:v>611404</c:v>
                </c:pt>
              </c:numCache>
            </c:numRef>
          </c:val>
          <c:smooth val="0"/>
          <c:extLst>
            <c:ext xmlns:c16="http://schemas.microsoft.com/office/drawing/2014/chart" uri="{C3380CC4-5D6E-409C-BE32-E72D297353CC}">
              <c16:uniqueId val="{00000000-70C2-4C39-94F8-7156A2E9F669}"/>
            </c:ext>
          </c:extLst>
        </c:ser>
        <c:dLbls>
          <c:showLegendKey val="0"/>
          <c:showVal val="0"/>
          <c:showCatName val="0"/>
          <c:showSerName val="0"/>
          <c:showPercent val="0"/>
          <c:showBubbleSize val="0"/>
        </c:dLbls>
        <c:marker val="1"/>
        <c:smooth val="0"/>
        <c:axId val="611130159"/>
        <c:axId val="611137359"/>
      </c:lineChart>
      <c:catAx>
        <c:axId val="6111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7359"/>
        <c:crosses val="autoZero"/>
        <c:auto val="1"/>
        <c:lblAlgn val="ctr"/>
        <c:lblOffset val="100"/>
        <c:noMultiLvlLbl val="0"/>
      </c:catAx>
      <c:valAx>
        <c:axId val="6111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634398641346"/>
          <c:y val="0.27853748785988913"/>
          <c:w val="0.70387454910382197"/>
          <c:h val="0.49109417515471115"/>
        </c:manualLayout>
      </c:layout>
      <c:barChart>
        <c:barDir val="col"/>
        <c:grouping val="clustered"/>
        <c:varyColors val="0"/>
        <c:ser>
          <c:idx val="0"/>
          <c:order val="0"/>
          <c:tx>
            <c:strRef>
              <c:f>Pivot_Charts!$B$120</c:f>
              <c:strCache>
                <c:ptCount val="1"/>
                <c:pt idx="0">
                  <c:v>Total</c:v>
                </c:pt>
              </c:strCache>
            </c:strRef>
          </c:tx>
          <c:spPr>
            <a:solidFill>
              <a:schemeClr val="accent1"/>
            </a:solidFill>
            <a:ln>
              <a:noFill/>
            </a:ln>
            <a:effectLst/>
          </c:spPr>
          <c:invertIfNegative val="0"/>
          <c:cat>
            <c:strRef>
              <c:f>Pivot_Charts!$A$121:$A$125</c:f>
              <c:strCache>
                <c:ptCount val="4"/>
                <c:pt idx="0">
                  <c:v>East</c:v>
                </c:pt>
                <c:pt idx="1">
                  <c:v>North</c:v>
                </c:pt>
                <c:pt idx="2">
                  <c:v>South</c:v>
                </c:pt>
                <c:pt idx="3">
                  <c:v>West</c:v>
                </c:pt>
              </c:strCache>
            </c:strRef>
          </c:cat>
          <c:val>
            <c:numRef>
              <c:f>Pivot_Charts!$B$121:$B$125</c:f>
              <c:numCache>
                <c:formatCode>General</c:formatCode>
                <c:ptCount val="4"/>
                <c:pt idx="0">
                  <c:v>2402395</c:v>
                </c:pt>
                <c:pt idx="1">
                  <c:v>1389769</c:v>
                </c:pt>
                <c:pt idx="2">
                  <c:v>3929486</c:v>
                </c:pt>
                <c:pt idx="3">
                  <c:v>4123245</c:v>
                </c:pt>
              </c:numCache>
            </c:numRef>
          </c:val>
          <c:extLst>
            <c:ext xmlns:c16="http://schemas.microsoft.com/office/drawing/2014/chart" uri="{C3380CC4-5D6E-409C-BE32-E72D297353CC}">
              <c16:uniqueId val="{00000000-E84A-48D6-857C-95C6EC8DF1D2}"/>
            </c:ext>
          </c:extLst>
        </c:ser>
        <c:dLbls>
          <c:showLegendKey val="0"/>
          <c:showVal val="0"/>
          <c:showCatName val="0"/>
          <c:showSerName val="0"/>
          <c:showPercent val="0"/>
          <c:showBubbleSize val="0"/>
        </c:dLbls>
        <c:gapWidth val="219"/>
        <c:overlap val="-27"/>
        <c:axId val="852134255"/>
        <c:axId val="852130895"/>
      </c:barChart>
      <c:catAx>
        <c:axId val="8521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0895"/>
        <c:crosses val="autoZero"/>
        <c:auto val="1"/>
        <c:lblAlgn val="ctr"/>
        <c:lblOffset val="100"/>
        <c:noMultiLvlLbl val="0"/>
      </c:catAx>
      <c:valAx>
        <c:axId val="8521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Pivot_Charts!$G$120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Pivot_Charts!$F$121:$F$127</c:f>
              <c:strCache>
                <c:ptCount val="6"/>
                <c:pt idx="0">
                  <c:v>Headset</c:v>
                </c:pt>
                <c:pt idx="1">
                  <c:v>Keyboard</c:v>
                </c:pt>
                <c:pt idx="2">
                  <c:v>Laptop</c:v>
                </c:pt>
                <c:pt idx="3">
                  <c:v>Mobile</c:v>
                </c:pt>
                <c:pt idx="4">
                  <c:v>Monitor</c:v>
                </c:pt>
                <c:pt idx="5">
                  <c:v>Tablet</c:v>
                </c:pt>
              </c:strCache>
            </c:strRef>
          </c:cat>
          <c:val>
            <c:numRef>
              <c:f>Pivot_Charts!$G$121:$G$127</c:f>
              <c:numCache>
                <c:formatCode>General</c:formatCode>
                <c:ptCount val="6"/>
                <c:pt idx="0">
                  <c:v>665987</c:v>
                </c:pt>
                <c:pt idx="1">
                  <c:v>327841</c:v>
                </c:pt>
                <c:pt idx="2">
                  <c:v>5558838</c:v>
                </c:pt>
                <c:pt idx="3">
                  <c:v>1943801</c:v>
                </c:pt>
                <c:pt idx="4">
                  <c:v>829400</c:v>
                </c:pt>
                <c:pt idx="5">
                  <c:v>2519028</c:v>
                </c:pt>
              </c:numCache>
            </c:numRef>
          </c:val>
          <c:extLst>
            <c:ext xmlns:c16="http://schemas.microsoft.com/office/drawing/2014/chart" uri="{C3380CC4-5D6E-409C-BE32-E72D297353CC}">
              <c16:uniqueId val="{00000000-D56B-45AB-B9AF-E5E10533518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[Reenu_2419938_excel_assignment.xlsx]Slicers!PivotTable18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Slicers!$F$144</c:f>
              <c:strCache>
                <c:ptCount val="1"/>
                <c:pt idx="0">
                  <c:v>Total</c:v>
                </c:pt>
              </c:strCache>
            </c:strRef>
          </c:tx>
          <c:spPr>
            <a:solidFill>
              <a:schemeClr val="accent1"/>
            </a:solidFill>
            <a:ln>
              <a:noFill/>
            </a:ln>
            <a:effectLst/>
          </c:spPr>
          <c:invertIfNegative val="0"/>
          <c:cat>
            <c:strRef>
              <c:f>Slicers!$E$145:$E$146</c:f>
              <c:strCache>
                <c:ptCount val="1"/>
                <c:pt idx="0">
                  <c:v>South</c:v>
                </c:pt>
              </c:strCache>
            </c:strRef>
          </c:cat>
          <c:val>
            <c:numRef>
              <c:f>Slicers!$F$145:$F$146</c:f>
              <c:numCache>
                <c:formatCode>General</c:formatCode>
                <c:ptCount val="1"/>
                <c:pt idx="0">
                  <c:v>3929486</c:v>
                </c:pt>
              </c:numCache>
            </c:numRef>
          </c:val>
          <c:extLst>
            <c:ext xmlns:c16="http://schemas.microsoft.com/office/drawing/2014/chart" uri="{C3380CC4-5D6E-409C-BE32-E72D297353CC}">
              <c16:uniqueId val="{00000000-57F6-4D95-97CE-CF451C31579F}"/>
            </c:ext>
          </c:extLst>
        </c:ser>
        <c:dLbls>
          <c:showLegendKey val="0"/>
          <c:showVal val="0"/>
          <c:showCatName val="0"/>
          <c:showSerName val="0"/>
          <c:showPercent val="0"/>
          <c:showBubbleSize val="0"/>
        </c:dLbls>
        <c:gapWidth val="219"/>
        <c:overlap val="-27"/>
        <c:axId val="935373775"/>
        <c:axId val="1013256687"/>
      </c:barChart>
      <c:catAx>
        <c:axId val="93537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256687"/>
        <c:crosses val="autoZero"/>
        <c:auto val="1"/>
        <c:lblAlgn val="ctr"/>
        <c:lblOffset val="100"/>
        <c:noMultiLvlLbl val="0"/>
      </c:catAx>
      <c:valAx>
        <c:axId val="101325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37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[Reenu_2419938_excel_assignment.xlsx]Slicers!PivotTable19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Slicers!$J$144</c:f>
              <c:strCache>
                <c:ptCount val="1"/>
                <c:pt idx="0">
                  <c:v>Total</c:v>
                </c:pt>
              </c:strCache>
            </c:strRef>
          </c:tx>
          <c:spPr>
            <a:solidFill>
              <a:schemeClr val="accent1"/>
            </a:solidFill>
            <a:ln>
              <a:noFill/>
            </a:ln>
            <a:effectLst/>
          </c:spPr>
          <c:invertIfNegative val="0"/>
          <c:cat>
            <c:strRef>
              <c:f>Slicers!$I$145:$I$151</c:f>
              <c:strCache>
                <c:ptCount val="6"/>
                <c:pt idx="0">
                  <c:v>Headset</c:v>
                </c:pt>
                <c:pt idx="1">
                  <c:v>Keyboard</c:v>
                </c:pt>
                <c:pt idx="2">
                  <c:v>Laptop</c:v>
                </c:pt>
                <c:pt idx="3">
                  <c:v>Mobile</c:v>
                </c:pt>
                <c:pt idx="4">
                  <c:v>Monitor</c:v>
                </c:pt>
                <c:pt idx="5">
                  <c:v>Tablet</c:v>
                </c:pt>
              </c:strCache>
            </c:strRef>
          </c:cat>
          <c:val>
            <c:numRef>
              <c:f>Slicers!$J$145:$J$151</c:f>
              <c:numCache>
                <c:formatCode>General</c:formatCode>
                <c:ptCount val="6"/>
                <c:pt idx="0">
                  <c:v>150695</c:v>
                </c:pt>
                <c:pt idx="1">
                  <c:v>25829</c:v>
                </c:pt>
                <c:pt idx="2">
                  <c:v>1819346</c:v>
                </c:pt>
                <c:pt idx="3">
                  <c:v>944138</c:v>
                </c:pt>
                <c:pt idx="4">
                  <c:v>240564</c:v>
                </c:pt>
                <c:pt idx="5">
                  <c:v>748914</c:v>
                </c:pt>
              </c:numCache>
            </c:numRef>
          </c:val>
          <c:extLst>
            <c:ext xmlns:c16="http://schemas.microsoft.com/office/drawing/2014/chart" uri="{C3380CC4-5D6E-409C-BE32-E72D297353CC}">
              <c16:uniqueId val="{00000000-6C3C-49B2-923F-E74A24A0CFEC}"/>
            </c:ext>
          </c:extLst>
        </c:ser>
        <c:dLbls>
          <c:showLegendKey val="0"/>
          <c:showVal val="0"/>
          <c:showCatName val="0"/>
          <c:showSerName val="0"/>
          <c:showPercent val="0"/>
          <c:showBubbleSize val="0"/>
        </c:dLbls>
        <c:gapWidth val="219"/>
        <c:overlap val="-27"/>
        <c:axId val="1013163583"/>
        <c:axId val="1013164543"/>
      </c:barChart>
      <c:catAx>
        <c:axId val="101316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64543"/>
        <c:crosses val="autoZero"/>
        <c:auto val="1"/>
        <c:lblAlgn val="ctr"/>
        <c:lblOffset val="100"/>
        <c:noMultiLvlLbl val="0"/>
      </c:catAx>
      <c:valAx>
        <c:axId val="1013164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6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[Reenu_2419938_excel_assignment.xlsx]Slicers!PivotTable20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Slicers!$M$144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Slicers!$L$145:$L$154</c:f>
              <c:strCache>
                <c:ptCount val="9"/>
                <c:pt idx="0">
                  <c:v>Jan</c:v>
                </c:pt>
                <c:pt idx="1">
                  <c:v>Mar</c:v>
                </c:pt>
                <c:pt idx="2">
                  <c:v>Apr</c:v>
                </c:pt>
                <c:pt idx="3">
                  <c:v>May</c:v>
                </c:pt>
                <c:pt idx="4">
                  <c:v>Jun</c:v>
                </c:pt>
                <c:pt idx="5">
                  <c:v>Jul</c:v>
                </c:pt>
                <c:pt idx="6">
                  <c:v>Aug</c:v>
                </c:pt>
                <c:pt idx="7">
                  <c:v>Sep</c:v>
                </c:pt>
                <c:pt idx="8">
                  <c:v>Oct</c:v>
                </c:pt>
              </c:strCache>
            </c:strRef>
          </c:cat>
          <c:val>
            <c:numRef>
              <c:f>Slicers!$M$145:$M$154</c:f>
              <c:numCache>
                <c:formatCode>General</c:formatCode>
                <c:ptCount val="9"/>
                <c:pt idx="0">
                  <c:v>358885</c:v>
                </c:pt>
                <c:pt idx="1">
                  <c:v>22005</c:v>
                </c:pt>
                <c:pt idx="2">
                  <c:v>648961</c:v>
                </c:pt>
                <c:pt idx="3">
                  <c:v>500560</c:v>
                </c:pt>
                <c:pt idx="4">
                  <c:v>1363095</c:v>
                </c:pt>
                <c:pt idx="5">
                  <c:v>24116</c:v>
                </c:pt>
                <c:pt idx="6">
                  <c:v>282474</c:v>
                </c:pt>
                <c:pt idx="7">
                  <c:v>626822</c:v>
                </c:pt>
                <c:pt idx="8">
                  <c:v>102568</c:v>
                </c:pt>
              </c:numCache>
            </c:numRef>
          </c:val>
          <c:smooth val="0"/>
          <c:extLst>
            <c:ext xmlns:c16="http://schemas.microsoft.com/office/drawing/2014/chart" uri="{C3380CC4-5D6E-409C-BE32-E72D297353CC}">
              <c16:uniqueId val="{00000000-E8DB-4039-9C70-ED975601AE54}"/>
            </c:ext>
          </c:extLst>
        </c:ser>
        <c:dLbls>
          <c:showLegendKey val="0"/>
          <c:showVal val="0"/>
          <c:showCatName val="0"/>
          <c:showSerName val="0"/>
          <c:showPercent val="0"/>
          <c:showBubbleSize val="0"/>
        </c:dLbls>
        <c:marker val="1"/>
        <c:smooth val="0"/>
        <c:axId val="1061346735"/>
        <c:axId val="1061347215"/>
      </c:lineChart>
      <c:catAx>
        <c:axId val="1061346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47215"/>
        <c:crosses val="autoZero"/>
        <c:auto val="1"/>
        <c:lblAlgn val="ctr"/>
        <c:lblOffset val="100"/>
        <c:noMultiLvlLbl val="0"/>
      </c:catAx>
      <c:valAx>
        <c:axId val="1061347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4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Pivot_Charts!$B$132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Pivot_Charts!$A$133:$A$143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Pivot_Charts!$B$133:$B$143</c:f>
              <c:numCache>
                <c:formatCode>General</c:formatCode>
                <c:ptCount val="10"/>
                <c:pt idx="0">
                  <c:v>2279565</c:v>
                </c:pt>
                <c:pt idx="1">
                  <c:v>436468</c:v>
                </c:pt>
                <c:pt idx="2">
                  <c:v>839233</c:v>
                </c:pt>
                <c:pt idx="3">
                  <c:v>947184</c:v>
                </c:pt>
                <c:pt idx="4">
                  <c:v>943067</c:v>
                </c:pt>
                <c:pt idx="5">
                  <c:v>1566518</c:v>
                </c:pt>
                <c:pt idx="6">
                  <c:v>1815152</c:v>
                </c:pt>
                <c:pt idx="7">
                  <c:v>825600</c:v>
                </c:pt>
                <c:pt idx="8">
                  <c:v>1580704</c:v>
                </c:pt>
                <c:pt idx="9">
                  <c:v>611404</c:v>
                </c:pt>
              </c:numCache>
            </c:numRef>
          </c:val>
          <c:smooth val="0"/>
          <c:extLst>
            <c:ext xmlns:c16="http://schemas.microsoft.com/office/drawing/2014/chart" uri="{C3380CC4-5D6E-409C-BE32-E72D297353CC}">
              <c16:uniqueId val="{00000000-E404-4FD7-92BE-A1CA75E9EB24}"/>
            </c:ext>
          </c:extLst>
        </c:ser>
        <c:dLbls>
          <c:showLegendKey val="0"/>
          <c:showVal val="0"/>
          <c:showCatName val="0"/>
          <c:showSerName val="0"/>
          <c:showPercent val="0"/>
          <c:showBubbleSize val="0"/>
        </c:dLbls>
        <c:marker val="1"/>
        <c:smooth val="0"/>
        <c:axId val="611130159"/>
        <c:axId val="611137359"/>
      </c:lineChart>
      <c:catAx>
        <c:axId val="6111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7359"/>
        <c:crosses val="autoZero"/>
        <c:auto val="1"/>
        <c:lblAlgn val="ctr"/>
        <c:lblOffset val="100"/>
        <c:noMultiLvlLbl val="0"/>
      </c:catAx>
      <c:valAx>
        <c:axId val="6111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[Reenu_2419938_excel_assignment.xlsx]Pivot_Charts!PivotTable6</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3634398641346"/>
          <c:y val="0.27853748785988913"/>
          <c:w val="0.70387454910382197"/>
          <c:h val="0.49109417515471115"/>
        </c:manualLayout>
      </c:layout>
      <c:barChart>
        <c:barDir val="col"/>
        <c:grouping val="clustered"/>
        <c:varyColors val="0"/>
        <c:ser>
          <c:idx val="0"/>
          <c:order val="0"/>
          <c:tx>
            <c:strRef>
              <c:f>Pivot_Charts!$B$120</c:f>
              <c:strCache>
                <c:ptCount val="1"/>
                <c:pt idx="0">
                  <c:v>Total</c:v>
                </c:pt>
              </c:strCache>
            </c:strRef>
          </c:tx>
          <c:spPr>
            <a:solidFill>
              <a:schemeClr val="accent1"/>
            </a:solidFill>
            <a:ln>
              <a:noFill/>
            </a:ln>
            <a:effectLst/>
          </c:spPr>
          <c:invertIfNegative val="0"/>
          <c:cat>
            <c:strRef>
              <c:f>Pivot_Charts!$A$121:$A$125</c:f>
              <c:strCache>
                <c:ptCount val="4"/>
                <c:pt idx="0">
                  <c:v>East</c:v>
                </c:pt>
                <c:pt idx="1">
                  <c:v>North</c:v>
                </c:pt>
                <c:pt idx="2">
                  <c:v>South</c:v>
                </c:pt>
                <c:pt idx="3">
                  <c:v>West</c:v>
                </c:pt>
              </c:strCache>
            </c:strRef>
          </c:cat>
          <c:val>
            <c:numRef>
              <c:f>Pivot_Charts!$B$121:$B$125</c:f>
              <c:numCache>
                <c:formatCode>General</c:formatCode>
                <c:ptCount val="4"/>
                <c:pt idx="0">
                  <c:v>2402395</c:v>
                </c:pt>
                <c:pt idx="1">
                  <c:v>1389769</c:v>
                </c:pt>
                <c:pt idx="2">
                  <c:v>3929486</c:v>
                </c:pt>
                <c:pt idx="3">
                  <c:v>4123245</c:v>
                </c:pt>
              </c:numCache>
            </c:numRef>
          </c:val>
          <c:extLst>
            <c:ext xmlns:c16="http://schemas.microsoft.com/office/drawing/2014/chart" uri="{C3380CC4-5D6E-409C-BE32-E72D297353CC}">
              <c16:uniqueId val="{00000000-32A1-4DDB-88BA-1B0F58CD5E6E}"/>
            </c:ext>
          </c:extLst>
        </c:ser>
        <c:dLbls>
          <c:showLegendKey val="0"/>
          <c:showVal val="0"/>
          <c:showCatName val="0"/>
          <c:showSerName val="0"/>
          <c:showPercent val="0"/>
          <c:showBubbleSize val="0"/>
        </c:dLbls>
        <c:gapWidth val="219"/>
        <c:overlap val="-27"/>
        <c:axId val="852134255"/>
        <c:axId val="852130895"/>
      </c:barChart>
      <c:catAx>
        <c:axId val="85213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0895"/>
        <c:crosses val="autoZero"/>
        <c:auto val="1"/>
        <c:lblAlgn val="ctr"/>
        <c:lblOffset val="100"/>
        <c:noMultiLvlLbl val="0"/>
      </c:catAx>
      <c:valAx>
        <c:axId val="8521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[Reenu_2419938_excel_assignment.xlsx]Pivot_Charts!PivotTable7</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Pivot_Charts!$G$120</c:f>
              <c:strCache>
                <c:ptCount val="1"/>
                <c:pt idx="0">
                  <c:v>Total</c:v>
                </c:pt>
              </c:strCache>
            </c:strRef>
          </c:tx>
          <c:spPr>
            <a:solidFill>
              <a:schemeClr val="accent1"/>
            </a:solidFill>
            <a:ln>
              <a:noFill/>
            </a:ln>
            <a:effectLst/>
            <a:sp3d/>
          </c:spPr>
          <c:invertIfNegative val="0"/>
          <c:cat>
            <c:strRef>
              <c:f>Pivot_Charts!$F$121:$F$127</c:f>
              <c:strCache>
                <c:ptCount val="6"/>
                <c:pt idx="0">
                  <c:v>Headset</c:v>
                </c:pt>
                <c:pt idx="1">
                  <c:v>Keyboard</c:v>
                </c:pt>
                <c:pt idx="2">
                  <c:v>Laptop</c:v>
                </c:pt>
                <c:pt idx="3">
                  <c:v>Mobile</c:v>
                </c:pt>
                <c:pt idx="4">
                  <c:v>Monitor</c:v>
                </c:pt>
                <c:pt idx="5">
                  <c:v>Tablet</c:v>
                </c:pt>
              </c:strCache>
            </c:strRef>
          </c:cat>
          <c:val>
            <c:numRef>
              <c:f>Pivot_Charts!$G$121:$G$127</c:f>
              <c:numCache>
                <c:formatCode>General</c:formatCode>
                <c:ptCount val="6"/>
                <c:pt idx="0">
                  <c:v>665987</c:v>
                </c:pt>
                <c:pt idx="1">
                  <c:v>327841</c:v>
                </c:pt>
                <c:pt idx="2">
                  <c:v>5558838</c:v>
                </c:pt>
                <c:pt idx="3">
                  <c:v>1943801</c:v>
                </c:pt>
                <c:pt idx="4">
                  <c:v>829400</c:v>
                </c:pt>
                <c:pt idx="5">
                  <c:v>2519028</c:v>
                </c:pt>
              </c:numCache>
            </c:numRef>
          </c:val>
          <c:extLst>
            <c:ext xmlns:c16="http://schemas.microsoft.com/office/drawing/2014/chart" uri="{C3380CC4-5D6E-409C-BE32-E72D297353CC}">
              <c16:uniqueId val="{00000000-92AF-4AD9-A48B-C6E0D497F7EA}"/>
            </c:ext>
          </c:extLst>
        </c:ser>
        <c:dLbls>
          <c:showLegendKey val="0"/>
          <c:showVal val="0"/>
          <c:showCatName val="0"/>
          <c:showSerName val="0"/>
          <c:showPercent val="0"/>
          <c:showBubbleSize val="0"/>
        </c:dLbls>
        <c:gapWidth val="150"/>
        <c:shape val="box"/>
        <c:axId val="852144335"/>
        <c:axId val="852135695"/>
        <c:axId val="0"/>
      </c:bar3DChart>
      <c:catAx>
        <c:axId val="852144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35695"/>
        <c:crosses val="autoZero"/>
        <c:auto val="1"/>
        <c:lblAlgn val="ctr"/>
        <c:lblOffset val="100"/>
        <c:noMultiLvlLbl val="0"/>
      </c:catAx>
      <c:valAx>
        <c:axId val="85213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144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[Reenu_2419938_excel_assignment.xlsx]Pivot_Charts!PivotTable8</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Pivot_Charts!$B$132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Pivot_Charts!$A$133:$A$143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Pivot_Charts!$B$133:$B$143</c:f>
              <c:numCache>
                <c:formatCode>General</c:formatCode>
                <c:ptCount val="10"/>
                <c:pt idx="0">
                  <c:v>2279565</c:v>
                </c:pt>
                <c:pt idx="1">
                  <c:v>436468</c:v>
                </c:pt>
                <c:pt idx="2">
                  <c:v>839233</c:v>
                </c:pt>
                <c:pt idx="3">
                  <c:v>947184</c:v>
                </c:pt>
                <c:pt idx="4">
                  <c:v>943067</c:v>
                </c:pt>
                <c:pt idx="5">
                  <c:v>1566518</c:v>
                </c:pt>
                <c:pt idx="6">
                  <c:v>1815152</c:v>
                </c:pt>
                <c:pt idx="7">
                  <c:v>825600</c:v>
                </c:pt>
                <c:pt idx="8">
                  <c:v>1580704</c:v>
                </c:pt>
                <c:pt idx="9">
                  <c:v>611404</c:v>
                </c:pt>
              </c:numCache>
            </c:numRef>
          </c:val>
          <c:smooth val="0"/>
          <c:extLst>
            <c:ext xmlns:c16="http://schemas.microsoft.com/office/drawing/2014/chart" uri="{C3380CC4-5D6E-409C-BE32-E72D297353CC}">
              <c16:uniqueId val="{00000000-EA31-4AC6-8607-74BD05768026}"/>
            </c:ext>
          </c:extLst>
        </c:ser>
        <c:dLbls>
          <c:showLegendKey val="0"/>
          <c:showVal val="0"/>
          <c:showCatName val="0"/>
          <c:showSerName val="0"/>
          <c:showPercent val="0"/>
          <c:showBubbleSize val="0"/>
        </c:dLbls>
        <c:marker val="1"/>
        <c:smooth val="0"/>
        <c:axId val="611130159"/>
        <c:axId val="611137359"/>
      </c:lineChart>
      <c:catAx>
        <c:axId val="61113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7359"/>
        <c:crosses val="autoZero"/>
        <c:auto val="1"/>
        <c:lblAlgn val="ctr"/>
        <c:lblOffset val="100"/>
        <c:noMultiLvlLbl val="0"/>
      </c:catAx>
      <c:valAx>
        <c:axId val="611137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 Id="rId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320040</xdr:colOff>
      <xdr:row>118</xdr:row>
      <xdr:rowOff>171450</xdr:rowOff>
    </xdr:from>
    <xdr:to>
      <xdr:col>4</xdr:col>
      <xdr:colOff>906780</xdr:colOff>
      <xdr:row>129</xdr:row>
      <xdr:rowOff>114300</xdr:rowOff>
    </xdr:to>
    <xdr:graphicFrame macro="">
      <xdr:nvGraphicFramePr>
        <xdr:cNvPr id="2" name="Chart 1">
          <a:extLst>
            <a:ext uri="{FF2B5EF4-FFF2-40B4-BE49-F238E27FC236}">
              <a16:creationId xmlns:a16="http://schemas.microsoft.com/office/drawing/2014/main" id="{D647AFAC-6B62-75C8-2326-668777693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205740</xdr:colOff>
      <xdr:row>118</xdr:row>
      <xdr:rowOff>102870</xdr:rowOff>
    </xdr:from>
    <xdr:to>
      <xdr:col>14</xdr:col>
      <xdr:colOff>114300</xdr:colOff>
      <xdr:row>129</xdr:row>
      <xdr:rowOff>45720</xdr:rowOff>
    </xdr:to>
    <xdr:graphicFrame macro="">
      <xdr:nvGraphicFramePr>
        <xdr:cNvPr id="3" name="Chart 2">
          <a:extLst>
            <a:ext uri="{FF2B5EF4-FFF2-40B4-BE49-F238E27FC236}">
              <a16:creationId xmlns:a16="http://schemas.microsoft.com/office/drawing/2014/main" id="{AAAC1DB8-48E9-C8B7-59AD-428A28890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312420</xdr:colOff>
      <xdr:row>131</xdr:row>
      <xdr:rowOff>19050</xdr:rowOff>
    </xdr:from>
    <xdr:to>
      <xdr:col>4</xdr:col>
      <xdr:colOff>1417320</xdr:colOff>
      <xdr:row>143</xdr:row>
      <xdr:rowOff>30480</xdr:rowOff>
    </xdr:to>
    <xdr:graphicFrame macro="">
      <xdr:nvGraphicFramePr>
        <xdr:cNvPr id="4" name="Chart 3">
          <a:extLst>
            <a:ext uri="{FF2B5EF4-FFF2-40B4-BE49-F238E27FC236}">
              <a16:creationId xmlns:a16="http://schemas.microsoft.com/office/drawing/2014/main" id="{DDD78999-A21F-050B-70E0-BE1C514B1C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2621280</xdr:colOff>
      <xdr:row>137</xdr:row>
      <xdr:rowOff>53340</xdr:rowOff>
    </xdr:from>
    <xdr:to>
      <xdr:col>8</xdr:col>
      <xdr:colOff>327660</xdr:colOff>
      <xdr:row>150</xdr:row>
      <xdr:rowOff>167640</xdr:rowOff>
    </xdr:to>
    <xdr:graphicFrame macro="">
      <xdr:nvGraphicFramePr>
        <xdr:cNvPr id="5" name="Chart 4">
          <a:extLst>
            <a:ext uri="{FF2B5EF4-FFF2-40B4-BE49-F238E27FC236}">
              <a16:creationId xmlns:a16="http://schemas.microsoft.com/office/drawing/2014/main" id="{17E957F5-E40D-6234-BBB1-CE4047597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510540</xdr:colOff>
      <xdr:row>137</xdr:row>
      <xdr:rowOff>114300</xdr:rowOff>
    </xdr:from>
    <xdr:to>
      <xdr:col>15</xdr:col>
      <xdr:colOff>419100</xdr:colOff>
      <xdr:row>148</xdr:row>
      <xdr:rowOff>57150</xdr:rowOff>
    </xdr:to>
    <xdr:graphicFrame macro="">
      <xdr:nvGraphicFramePr>
        <xdr:cNvPr id="6" name="Chart 5">
          <a:extLst>
            <a:ext uri="{FF2B5EF4-FFF2-40B4-BE49-F238E27FC236}">
              <a16:creationId xmlns:a16="http://schemas.microsoft.com/office/drawing/2014/main" id="{00B1E20D-156C-4516-A2E1-33058377C8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146</xdr:row>
      <xdr:rowOff>106680</xdr:rowOff>
    </xdr:from>
    <xdr:to>
      <xdr:col>3</xdr:col>
      <xdr:colOff>419100</xdr:colOff>
      <xdr:row>160</xdr:row>
      <xdr:rowOff>129540</xdr:rowOff>
    </xdr:to>
    <xdr:graphicFrame macro="">
      <xdr:nvGraphicFramePr>
        <xdr:cNvPr id="7" name="Chart 6">
          <a:extLst>
            <a:ext uri="{FF2B5EF4-FFF2-40B4-BE49-F238E27FC236}">
              <a16:creationId xmlns:a16="http://schemas.microsoft.com/office/drawing/2014/main" id="{1F522263-74FF-7F22-3256-D27A76CD3D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434340</xdr:colOff>
      <xdr:row>153</xdr:row>
      <xdr:rowOff>30480</xdr:rowOff>
    </xdr:from>
    <xdr:to>
      <xdr:col>13</xdr:col>
      <xdr:colOff>53340</xdr:colOff>
      <xdr:row>166</xdr:row>
      <xdr:rowOff>144780</xdr:rowOff>
    </xdr:to>
    <xdr:graphicFrame macro="">
      <xdr:nvGraphicFramePr>
        <xdr:cNvPr id="9" name="Chart 8">
          <a:extLst>
            <a:ext uri="{FF2B5EF4-FFF2-40B4-BE49-F238E27FC236}">
              <a16:creationId xmlns:a16="http://schemas.microsoft.com/office/drawing/2014/main" id="{1D66DABF-94F3-07E1-6D89-940F8A02A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164</xdr:row>
      <xdr:rowOff>0</xdr:rowOff>
    </xdr:from>
    <xdr:to>
      <xdr:col>3</xdr:col>
      <xdr:colOff>594360</xdr:colOff>
      <xdr:row>176</xdr:row>
      <xdr:rowOff>11430</xdr:rowOff>
    </xdr:to>
    <xdr:graphicFrame macro="">
      <xdr:nvGraphicFramePr>
        <xdr:cNvPr id="10" name="Chart 9">
          <a:extLst>
            <a:ext uri="{FF2B5EF4-FFF2-40B4-BE49-F238E27FC236}">
              <a16:creationId xmlns:a16="http://schemas.microsoft.com/office/drawing/2014/main" id="{723856B8-30D7-4E03-BF3A-1B5C19BFC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609600</xdr:colOff>
      <xdr:row>164</xdr:row>
      <xdr:rowOff>0</xdr:rowOff>
    </xdr:from>
    <xdr:to>
      <xdr:col>4</xdr:col>
      <xdr:colOff>1889760</xdr:colOff>
      <xdr:row>177</xdr:row>
      <xdr:rowOff>114300</xdr:rowOff>
    </xdr:to>
    <xdr:graphicFrame macro="">
      <xdr:nvGraphicFramePr>
        <xdr:cNvPr id="11" name="Chart 10">
          <a:extLst>
            <a:ext uri="{FF2B5EF4-FFF2-40B4-BE49-F238E27FC236}">
              <a16:creationId xmlns:a16="http://schemas.microsoft.com/office/drawing/2014/main" id="{53043B58-4FEB-49C4-8EC4-F33C9B53D7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0</xdr:colOff>
      <xdr:row>176</xdr:row>
      <xdr:rowOff>15240</xdr:rowOff>
    </xdr:from>
    <xdr:to>
      <xdr:col>3</xdr:col>
      <xdr:colOff>624840</xdr:colOff>
      <xdr:row>190</xdr:row>
      <xdr:rowOff>22860</xdr:rowOff>
    </xdr:to>
    <xdr:graphicFrame macro="">
      <xdr:nvGraphicFramePr>
        <xdr:cNvPr id="12" name="Chart 11">
          <a:extLst>
            <a:ext uri="{FF2B5EF4-FFF2-40B4-BE49-F238E27FC236}">
              <a16:creationId xmlns:a16="http://schemas.microsoft.com/office/drawing/2014/main" id="{D13066F8-D02A-317A-B802-BD9D52BAC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640080</xdr:colOff>
      <xdr:row>126</xdr:row>
      <xdr:rowOff>30480</xdr:rowOff>
    </xdr:from>
    <xdr:to>
      <xdr:col>1</xdr:col>
      <xdr:colOff>1607820</xdr:colOff>
      <xdr:row>139</xdr:row>
      <xdr:rowOff>120015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7A223E02-2C6E-4C82-2B6E-0A9546C0CD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0080" y="26395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xdr:colOff>
      <xdr:row>129</xdr:row>
      <xdr:rowOff>53340</xdr:rowOff>
    </xdr:from>
    <xdr:to>
      <xdr:col>2</xdr:col>
      <xdr:colOff>1844040</xdr:colOff>
      <xdr:row>142</xdr:row>
      <xdr:rowOff>142875</xdr:rowOff>
    </xdr:to>
    <mc:AlternateContent xmlns:mc="http://schemas.openxmlformats.org/markup-compatibility/2006">
      <mc:Choice xmlns:a14="http://schemas.microsoft.com/office/drawing/2010/main" Requires="a14">
        <xdr:graphicFrame macro="">
          <xdr:nvGraphicFramePr>
            <xdr:cNvPr id="5" name="Product">
              <a:extLst>
                <a:ext uri="{FF2B5EF4-FFF2-40B4-BE49-F238E27FC236}">
                  <a16:creationId xmlns:a16="http://schemas.microsoft.com/office/drawing/2014/main" id="{A39A5DD9-AA1F-80B1-8F0E-010F9C87047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009900" y="26967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792480</xdr:colOff>
      <xdr:row>123</xdr:row>
      <xdr:rowOff>152400</xdr:rowOff>
    </xdr:from>
    <xdr:to>
      <xdr:col>5</xdr:col>
      <xdr:colOff>716280</xdr:colOff>
      <xdr:row>137</xdr:row>
      <xdr:rowOff>59055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121B768F-44D5-6B1F-DE92-53F312B2C7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536180" y="25968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124</xdr:row>
      <xdr:rowOff>0</xdr:rowOff>
    </xdr:from>
    <xdr:to>
      <xdr:col>9</xdr:col>
      <xdr:colOff>822960</xdr:colOff>
      <xdr:row>137</xdr:row>
      <xdr:rowOff>89535</xdr:rowOff>
    </xdr:to>
    <mc:AlternateContent xmlns:mc="http://schemas.openxmlformats.org/markup-compatibility/2006">
      <mc:Choice xmlns:a14="http://schemas.microsoft.com/office/drawing/2010/main" Requires="a14">
        <xdr:graphicFrame macro="">
          <xdr:nvGraphicFramePr>
            <xdr:cNvPr id="7" name="Region 2">
              <a:extLst>
                <a:ext uri="{FF2B5EF4-FFF2-40B4-BE49-F238E27FC236}">
                  <a16:creationId xmlns:a16="http://schemas.microsoft.com/office/drawing/2014/main" id="{6C6465D2-C938-4BA6-968E-CB13936145C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917680" y="25999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147</xdr:row>
      <xdr:rowOff>30480</xdr:rowOff>
    </xdr:from>
    <xdr:to>
      <xdr:col>2</xdr:col>
      <xdr:colOff>1851660</xdr:colOff>
      <xdr:row>160</xdr:row>
      <xdr:rowOff>120015</xdr:rowOff>
    </xdr:to>
    <mc:AlternateContent xmlns:mc="http://schemas.openxmlformats.org/markup-compatibility/2006">
      <mc:Choice xmlns:a14="http://schemas.microsoft.com/office/drawing/2010/main" Requires="a14">
        <xdr:graphicFrame macro="">
          <xdr:nvGraphicFramePr>
            <xdr:cNvPr id="8" name="Region 3">
              <a:extLst>
                <a:ext uri="{FF2B5EF4-FFF2-40B4-BE49-F238E27FC236}">
                  <a16:creationId xmlns:a16="http://schemas.microsoft.com/office/drawing/2014/main" id="{B074A46A-27C4-6691-9681-3F272949B2CC}"/>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3017520" y="30236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xdr:colOff>
      <xdr:row>161</xdr:row>
      <xdr:rowOff>45720</xdr:rowOff>
    </xdr:from>
    <xdr:to>
      <xdr:col>2</xdr:col>
      <xdr:colOff>1836420</xdr:colOff>
      <xdr:row>174</xdr:row>
      <xdr:rowOff>135255</xdr:rowOff>
    </xdr:to>
    <mc:AlternateContent xmlns:mc="http://schemas.openxmlformats.org/markup-compatibility/2006">
      <mc:Choice xmlns:a14="http://schemas.microsoft.com/office/drawing/2010/main" Requires="a14">
        <xdr:graphicFrame macro="">
          <xdr:nvGraphicFramePr>
            <xdr:cNvPr id="9" name="Product 1">
              <a:extLst>
                <a:ext uri="{FF2B5EF4-FFF2-40B4-BE49-F238E27FC236}">
                  <a16:creationId xmlns:a16="http://schemas.microsoft.com/office/drawing/2014/main" id="{A701CF98-11DE-3207-99E2-FCC163309D9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002280" y="328117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861060</xdr:colOff>
      <xdr:row>150</xdr:row>
      <xdr:rowOff>76200</xdr:rowOff>
    </xdr:from>
    <xdr:to>
      <xdr:col>6</xdr:col>
      <xdr:colOff>144780</xdr:colOff>
      <xdr:row>161</xdr:row>
      <xdr:rowOff>76200</xdr:rowOff>
    </xdr:to>
    <xdr:graphicFrame macro="">
      <xdr:nvGraphicFramePr>
        <xdr:cNvPr id="10" name="Chart 9">
          <a:extLst>
            <a:ext uri="{FF2B5EF4-FFF2-40B4-BE49-F238E27FC236}">
              <a16:creationId xmlns:a16="http://schemas.microsoft.com/office/drawing/2014/main" id="{C41E4F00-CEBF-0672-4683-3B074F1C9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388620</xdr:colOff>
      <xdr:row>150</xdr:row>
      <xdr:rowOff>163830</xdr:rowOff>
    </xdr:from>
    <xdr:to>
      <xdr:col>10</xdr:col>
      <xdr:colOff>259080</xdr:colOff>
      <xdr:row>163</xdr:row>
      <xdr:rowOff>15240</xdr:rowOff>
    </xdr:to>
    <xdr:graphicFrame macro="">
      <xdr:nvGraphicFramePr>
        <xdr:cNvPr id="11" name="Chart 10">
          <a:extLst>
            <a:ext uri="{FF2B5EF4-FFF2-40B4-BE49-F238E27FC236}">
              <a16:creationId xmlns:a16="http://schemas.microsoft.com/office/drawing/2014/main" id="{CBCF2F08-06D3-07C8-EB29-1DF338B0D1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243840</xdr:colOff>
      <xdr:row>155</xdr:row>
      <xdr:rowOff>30480</xdr:rowOff>
    </xdr:from>
    <xdr:to>
      <xdr:col>15</xdr:col>
      <xdr:colOff>464820</xdr:colOff>
      <xdr:row>167</xdr:row>
      <xdr:rowOff>91440</xdr:rowOff>
    </xdr:to>
    <xdr:graphicFrame macro="">
      <xdr:nvGraphicFramePr>
        <xdr:cNvPr id="12" name="Chart 11">
          <a:extLst>
            <a:ext uri="{FF2B5EF4-FFF2-40B4-BE49-F238E27FC236}">
              <a16:creationId xmlns:a16="http://schemas.microsoft.com/office/drawing/2014/main" id="{A4011D1A-8766-B1AA-392F-4804FCC730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342900</xdr:colOff>
      <xdr:row>162</xdr:row>
      <xdr:rowOff>30480</xdr:rowOff>
    </xdr:from>
    <xdr:to>
      <xdr:col>5</xdr:col>
      <xdr:colOff>266700</xdr:colOff>
      <xdr:row>175</xdr:row>
      <xdr:rowOff>120015</xdr:rowOff>
    </xdr:to>
    <mc:AlternateContent xmlns:mc="http://schemas.openxmlformats.org/markup-compatibility/2006">
      <mc:Choice xmlns:a14="http://schemas.microsoft.com/office/drawing/2010/main" Requires="a14">
        <xdr:graphicFrame macro="">
          <xdr:nvGraphicFramePr>
            <xdr:cNvPr id="13" name="Region 4">
              <a:extLst>
                <a:ext uri="{FF2B5EF4-FFF2-40B4-BE49-F238E27FC236}">
                  <a16:creationId xmlns:a16="http://schemas.microsoft.com/office/drawing/2014/main" id="{0C431A3E-24FB-2676-BE10-B187F8FF670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7086600" y="32979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184</xdr:row>
      <xdr:rowOff>76200</xdr:rowOff>
    </xdr:from>
    <xdr:to>
      <xdr:col>1</xdr:col>
      <xdr:colOff>982980</xdr:colOff>
      <xdr:row>202</xdr:row>
      <xdr:rowOff>15240</xdr:rowOff>
    </xdr:to>
    <mc:AlternateContent xmlns:mc="http://schemas.openxmlformats.org/markup-compatibility/2006">
      <mc:Choice xmlns:a14="http://schemas.microsoft.com/office/drawing/2010/main" Requires="a14">
        <xdr:graphicFrame macro="">
          <xdr:nvGraphicFramePr>
            <xdr:cNvPr id="14" name="Months (Date)">
              <a:extLst>
                <a:ext uri="{FF2B5EF4-FFF2-40B4-BE49-F238E27FC236}">
                  <a16:creationId xmlns:a16="http://schemas.microsoft.com/office/drawing/2014/main" id="{6051FC5E-B380-837C-FB99-EFDAF70946FE}"/>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5240" y="37048440"/>
              <a:ext cx="1828800" cy="3230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7620</xdr:colOff>
      <xdr:row>188</xdr:row>
      <xdr:rowOff>144780</xdr:rowOff>
    </xdr:from>
    <xdr:to>
      <xdr:col>7</xdr:col>
      <xdr:colOff>975360</xdr:colOff>
      <xdr:row>202</xdr:row>
      <xdr:rowOff>51435</xdr:rowOff>
    </xdr:to>
    <mc:AlternateContent xmlns:mc="http://schemas.openxmlformats.org/markup-compatibility/2006">
      <mc:Choice xmlns:a14="http://schemas.microsoft.com/office/drawing/2010/main" Requires="a14">
        <xdr:graphicFrame macro="">
          <xdr:nvGraphicFramePr>
            <xdr:cNvPr id="18" name="Region 5">
              <a:extLst>
                <a:ext uri="{FF2B5EF4-FFF2-40B4-BE49-F238E27FC236}">
                  <a16:creationId xmlns:a16="http://schemas.microsoft.com/office/drawing/2014/main" id="{115E37ED-FA55-60D3-D62F-B3F52539EA49}"/>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10043160" y="3784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45720</xdr:colOff>
      <xdr:row>188</xdr:row>
      <xdr:rowOff>144780</xdr:rowOff>
    </xdr:from>
    <xdr:to>
      <xdr:col>10</xdr:col>
      <xdr:colOff>1013460</xdr:colOff>
      <xdr:row>202</xdr:row>
      <xdr:rowOff>51435</xdr:rowOff>
    </xdr:to>
    <mc:AlternateContent xmlns:mc="http://schemas.openxmlformats.org/markup-compatibility/2006">
      <mc:Choice xmlns:a14="http://schemas.microsoft.com/office/drawing/2010/main" Requires="a14">
        <xdr:graphicFrame macro="">
          <xdr:nvGraphicFramePr>
            <xdr:cNvPr id="19" name="Product 2">
              <a:extLst>
                <a:ext uri="{FF2B5EF4-FFF2-40B4-BE49-F238E27FC236}">
                  <a16:creationId xmlns:a16="http://schemas.microsoft.com/office/drawing/2014/main" id="{C1D22688-4CB6-D621-B76B-B416407E9E0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12969240" y="3784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22860</xdr:colOff>
      <xdr:row>192</xdr:row>
      <xdr:rowOff>167640</xdr:rowOff>
    </xdr:from>
    <xdr:to>
      <xdr:col>13</xdr:col>
      <xdr:colOff>990600</xdr:colOff>
      <xdr:row>206</xdr:row>
      <xdr:rowOff>74295</xdr:rowOff>
    </xdr:to>
    <mc:AlternateContent xmlns:mc="http://schemas.openxmlformats.org/markup-compatibility/2006">
      <mc:Choice xmlns:a14="http://schemas.microsoft.com/office/drawing/2010/main" Requires="a14">
        <xdr:graphicFrame macro="">
          <xdr:nvGraphicFramePr>
            <xdr:cNvPr id="20" name="Months (Date) 1">
              <a:extLst>
                <a:ext uri="{FF2B5EF4-FFF2-40B4-BE49-F238E27FC236}">
                  <a16:creationId xmlns:a16="http://schemas.microsoft.com/office/drawing/2014/main" id="{5550D1E6-84A1-7809-A6F6-CD9E753AB7C8}"/>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15689580" y="38602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0</xdr:colOff>
      <xdr:row>125</xdr:row>
      <xdr:rowOff>1</xdr:rowOff>
    </xdr:from>
    <xdr:to>
      <xdr:col>9</xdr:col>
      <xdr:colOff>762000</xdr:colOff>
      <xdr:row>133</xdr:row>
      <xdr:rowOff>175261</xdr:rowOff>
    </xdr:to>
    <mc:AlternateContent xmlns:mc="http://schemas.openxmlformats.org/markup-compatibility/2006">
      <mc:Choice xmlns:a14="http://schemas.microsoft.com/office/drawing/2010/main" Requires="a14">
        <xdr:graphicFrame macro="">
          <xdr:nvGraphicFramePr>
            <xdr:cNvPr id="2" name="Region 6">
              <a:extLst>
                <a:ext uri="{FF2B5EF4-FFF2-40B4-BE49-F238E27FC236}">
                  <a16:creationId xmlns:a16="http://schemas.microsoft.com/office/drawing/2014/main" id="{36388BAD-2CDD-4FE4-A33E-CD832A077E39}"/>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13479780" y="2508504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135</xdr:row>
      <xdr:rowOff>1</xdr:rowOff>
    </xdr:from>
    <xdr:to>
      <xdr:col>9</xdr:col>
      <xdr:colOff>762000</xdr:colOff>
      <xdr:row>145</xdr:row>
      <xdr:rowOff>121921</xdr:rowOff>
    </xdr:to>
    <mc:AlternateContent xmlns:mc="http://schemas.openxmlformats.org/markup-compatibility/2006">
      <mc:Choice xmlns:a14="http://schemas.microsoft.com/office/drawing/2010/main" Requires="a14">
        <xdr:graphicFrame macro="">
          <xdr:nvGraphicFramePr>
            <xdr:cNvPr id="3" name="Product 3">
              <a:extLst>
                <a:ext uri="{FF2B5EF4-FFF2-40B4-BE49-F238E27FC236}">
                  <a16:creationId xmlns:a16="http://schemas.microsoft.com/office/drawing/2014/main" id="{DA0AD0CD-0E54-4A88-B00E-08871EBFD714}"/>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3479780" y="2691384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114300</xdr:colOff>
      <xdr:row>107</xdr:row>
      <xdr:rowOff>129540</xdr:rowOff>
    </xdr:from>
    <xdr:to>
      <xdr:col>17</xdr:col>
      <xdr:colOff>396240</xdr:colOff>
      <xdr:row>112</xdr:row>
      <xdr:rowOff>179070</xdr:rowOff>
    </xdr:to>
    <xdr:graphicFrame macro="">
      <xdr:nvGraphicFramePr>
        <xdr:cNvPr id="4" name="Chart 3">
          <a:extLst>
            <a:ext uri="{FF2B5EF4-FFF2-40B4-BE49-F238E27FC236}">
              <a16:creationId xmlns:a16="http://schemas.microsoft.com/office/drawing/2014/main" id="{FDEF7BA3-CB42-45E1-803B-E706A7161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594360</xdr:colOff>
      <xdr:row>116</xdr:row>
      <xdr:rowOff>312420</xdr:rowOff>
    </xdr:from>
    <xdr:to>
      <xdr:col>13</xdr:col>
      <xdr:colOff>952500</xdr:colOff>
      <xdr:row>128</xdr:row>
      <xdr:rowOff>36195</xdr:rowOff>
    </xdr:to>
    <mc:AlternateContent xmlns:mc="http://schemas.openxmlformats.org/markup-compatibility/2006">
      <mc:Choice xmlns:a14="http://schemas.microsoft.com/office/drawing/2010/main" Requires="a14">
        <xdr:graphicFrame macro="">
          <xdr:nvGraphicFramePr>
            <xdr:cNvPr id="6" name="Region 7">
              <a:extLst>
                <a:ext uri="{FF2B5EF4-FFF2-40B4-BE49-F238E27FC236}">
                  <a16:creationId xmlns:a16="http://schemas.microsoft.com/office/drawing/2014/main" id="{293D63F9-6D52-C054-9677-AD7A13D2A67A}"/>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dr:sp macro="" textlink="">
          <xdr:nvSpPr>
            <xdr:cNvPr id="0" name=""/>
            <xdr:cNvSpPr>
              <a:spLocks noTextEdit="1"/>
            </xdr:cNvSpPr>
          </xdr:nvSpPr>
          <xdr:spPr>
            <a:xfrm>
              <a:off x="16779240" y="23202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464820</xdr:colOff>
      <xdr:row>116</xdr:row>
      <xdr:rowOff>259080</xdr:rowOff>
    </xdr:from>
    <xdr:to>
      <xdr:col>16</xdr:col>
      <xdr:colOff>822960</xdr:colOff>
      <xdr:row>127</xdr:row>
      <xdr:rowOff>165735</xdr:rowOff>
    </xdr:to>
    <mc:AlternateContent xmlns:mc="http://schemas.openxmlformats.org/markup-compatibility/2006">
      <mc:Choice xmlns:a14="http://schemas.microsoft.com/office/drawing/2010/main" Requires="a14">
        <xdr:graphicFrame macro="">
          <xdr:nvGraphicFramePr>
            <xdr:cNvPr id="7" name="Product 4">
              <a:extLst>
                <a:ext uri="{FF2B5EF4-FFF2-40B4-BE49-F238E27FC236}">
                  <a16:creationId xmlns:a16="http://schemas.microsoft.com/office/drawing/2014/main" id="{986A93AD-7411-4B86-DD27-128402419642}"/>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19141440" y="23149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132</xdr:row>
      <xdr:rowOff>0</xdr:rowOff>
    </xdr:from>
    <xdr:to>
      <xdr:col>15</xdr:col>
      <xdr:colOff>434340</xdr:colOff>
      <xdr:row>145</xdr:row>
      <xdr:rowOff>114300</xdr:rowOff>
    </xdr:to>
    <xdr:graphicFrame macro="">
      <xdr:nvGraphicFramePr>
        <xdr:cNvPr id="8" name="Chart 7">
          <a:extLst>
            <a:ext uri="{FF2B5EF4-FFF2-40B4-BE49-F238E27FC236}">
              <a16:creationId xmlns:a16="http://schemas.microsoft.com/office/drawing/2014/main" id="{F96C9966-3DB2-40F3-BB9B-85FB64B2C0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525780</xdr:colOff>
      <xdr:row>131</xdr:row>
      <xdr:rowOff>175260</xdr:rowOff>
    </xdr:from>
    <xdr:to>
      <xdr:col>20</xdr:col>
      <xdr:colOff>502920</xdr:colOff>
      <xdr:row>145</xdr:row>
      <xdr:rowOff>121920</xdr:rowOff>
    </xdr:to>
    <xdr:graphicFrame macro="">
      <xdr:nvGraphicFramePr>
        <xdr:cNvPr id="9" name="Chart 8">
          <a:extLst>
            <a:ext uri="{FF2B5EF4-FFF2-40B4-BE49-F238E27FC236}">
              <a16:creationId xmlns:a16="http://schemas.microsoft.com/office/drawing/2014/main" id="{39D66E4F-B586-423E-A174-C745813A72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146</xdr:row>
      <xdr:rowOff>0</xdr:rowOff>
    </xdr:from>
    <xdr:to>
      <xdr:col>16</xdr:col>
      <xdr:colOff>358140</xdr:colOff>
      <xdr:row>158</xdr:row>
      <xdr:rowOff>11430</xdr:rowOff>
    </xdr:to>
    <xdr:graphicFrame macro="">
      <xdr:nvGraphicFramePr>
        <xdr:cNvPr id="10" name="Chart 9">
          <a:extLst>
            <a:ext uri="{FF2B5EF4-FFF2-40B4-BE49-F238E27FC236}">
              <a16:creationId xmlns:a16="http://schemas.microsoft.com/office/drawing/2014/main" id="{A0B6B859-13D9-495F-B657-E72133ED6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350520</xdr:colOff>
      <xdr:row>146</xdr:row>
      <xdr:rowOff>0</xdr:rowOff>
    </xdr:from>
    <xdr:to>
      <xdr:col>18</xdr:col>
      <xdr:colOff>266700</xdr:colOff>
      <xdr:row>159</xdr:row>
      <xdr:rowOff>89535</xdr:rowOff>
    </xdr:to>
    <mc:AlternateContent xmlns:mc="http://schemas.openxmlformats.org/markup-compatibility/2006">
      <mc:Choice xmlns:a14="http://schemas.microsoft.com/office/drawing/2010/main" Requires="a14">
        <xdr:graphicFrame macro="">
          <xdr:nvGraphicFramePr>
            <xdr:cNvPr id="11" name="Region 8">
              <a:extLst>
                <a:ext uri="{FF2B5EF4-FFF2-40B4-BE49-F238E27FC236}">
                  <a16:creationId xmlns:a16="http://schemas.microsoft.com/office/drawing/2014/main" id="{AD1049F0-A8F4-4211-AEF6-DDCB615E9535}"/>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dr:sp macro="" textlink="">
          <xdr:nvSpPr>
            <xdr:cNvPr id="0" name=""/>
            <xdr:cNvSpPr>
              <a:spLocks noTextEdit="1"/>
            </xdr:cNvSpPr>
          </xdr:nvSpPr>
          <xdr:spPr>
            <a:xfrm>
              <a:off x="20497800" y="28925520"/>
              <a:ext cx="154686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327660</xdr:colOff>
      <xdr:row>146</xdr:row>
      <xdr:rowOff>15240</xdr:rowOff>
    </xdr:from>
    <xdr:to>
      <xdr:col>21</xdr:col>
      <xdr:colOff>30480</xdr:colOff>
      <xdr:row>159</xdr:row>
      <xdr:rowOff>104775</xdr:rowOff>
    </xdr:to>
    <mc:AlternateContent xmlns:mc="http://schemas.openxmlformats.org/markup-compatibility/2006">
      <mc:Choice xmlns:a14="http://schemas.microsoft.com/office/drawing/2010/main" Requires="a14">
        <xdr:graphicFrame macro="">
          <xdr:nvGraphicFramePr>
            <xdr:cNvPr id="12" name="Product 5">
              <a:extLst>
                <a:ext uri="{FF2B5EF4-FFF2-40B4-BE49-F238E27FC236}">
                  <a16:creationId xmlns:a16="http://schemas.microsoft.com/office/drawing/2014/main" id="{D3AC2D66-EAC3-4CDD-AC37-54EF0F5353B0}"/>
                </a:ext>
              </a:extLst>
            </xdr:cNvPr>
            <xdr:cNvGraphicFramePr/>
          </xdr:nvGraphicFramePr>
          <xdr:xfrm>
            <a:off x="0" y="0"/>
            <a:ext cx="0" cy="0"/>
          </xdr:xfrm>
          <a:graphic>
            <a:graphicData uri="http://schemas.microsoft.com/office/drawing/2010/slicer">
              <sle:slicer xmlns:sle="http://schemas.microsoft.com/office/drawing/2010/slicer" name="Product 5"/>
            </a:graphicData>
          </a:graphic>
        </xdr:graphicFrame>
      </mc:Choice>
      <mc:Fallback>
        <xdr:sp macro="" textlink="">
          <xdr:nvSpPr>
            <xdr:cNvPr id="0" name=""/>
            <xdr:cNvSpPr>
              <a:spLocks noTextEdit="1"/>
            </xdr:cNvSpPr>
          </xdr:nvSpPr>
          <xdr:spPr>
            <a:xfrm>
              <a:off x="22105620" y="28940760"/>
              <a:ext cx="153162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348314930554" createdVersion="8" refreshedVersion="8" minRefreshableVersion="3" recordCount="100" xr:uid="{18DC6078-42A8-41FC-A23D-9F87AC6BD540}">
  <cacheSource type="worksheet">
    <worksheetSource ref="A5:F105" sheet="Pivot_Tables"/>
  </cacheSource>
  <cacheFields count="8">
    <cacheField name="Date" numFmtId="164">
      <sharedItems containsSemiMixedTypes="0" containsNonDate="0" containsDate="1" containsString="0" minDate="2025-01-01T00:00:00" maxDate="2025-10-26T00:00:00" count="100">
        <d v="2025-01-01T00:00:00"/>
        <d v="2025-01-04T00:00:00"/>
        <d v="2025-01-07T00:00:00"/>
        <d v="2025-01-10T00:00:00"/>
        <d v="2025-01-13T00:00:00"/>
        <d v="2025-01-16T00:00:00"/>
        <d v="2025-01-19T00:00:00"/>
        <d v="2025-01-22T00:00:00"/>
        <d v="2025-01-25T00:00:00"/>
        <d v="2025-01-28T00:00:00"/>
        <d v="2025-01-31T00:00:00"/>
        <d v="2025-02-03T00:00:00"/>
        <d v="2025-02-06T00:00:00"/>
        <d v="2025-02-09T00:00:00"/>
        <d v="2025-02-12T00:00:00"/>
        <d v="2025-02-15T00:00:00"/>
        <d v="2025-02-18T00:00:00"/>
        <d v="2025-02-21T00:00:00"/>
        <d v="2025-02-24T00:00:00"/>
        <d v="2025-02-27T00:00:00"/>
        <d v="2025-03-02T00:00:00"/>
        <d v="2025-03-05T00:00:00"/>
        <d v="2025-03-08T00:00:00"/>
        <d v="2025-03-11T00:00:00"/>
        <d v="2025-03-14T00:00:00"/>
        <d v="2025-03-17T00:00:00"/>
        <d v="2025-03-20T00:00:00"/>
        <d v="2025-03-23T00:00:00"/>
        <d v="2025-03-26T00:00:00"/>
        <d v="2025-03-29T00:00:00"/>
        <d v="2025-04-01T00:00:00"/>
        <d v="2025-04-04T00:00:00"/>
        <d v="2025-04-07T00:00:00"/>
        <d v="2025-04-10T00:00:00"/>
        <d v="2025-04-13T00:00:00"/>
        <d v="2025-04-16T00:00:00"/>
        <d v="2025-04-19T00:00:00"/>
        <d v="2025-04-22T00:00:00"/>
        <d v="2025-04-25T00:00:00"/>
        <d v="2025-04-28T00:00:00"/>
        <d v="2025-05-01T00:00:00"/>
        <d v="2025-05-04T00:00:00"/>
        <d v="2025-05-07T00:00:00"/>
        <d v="2025-05-10T00:00:00"/>
        <d v="2025-05-13T00:00:00"/>
        <d v="2025-05-16T00:00:00"/>
        <d v="2025-05-19T00:00:00"/>
        <d v="2025-05-22T00:00:00"/>
        <d v="2025-05-25T00:00:00"/>
        <d v="2025-05-28T00:00:00"/>
        <d v="2025-05-31T00:00:00"/>
        <d v="2025-06-03T00:00:00"/>
        <d v="2025-06-06T00:00:00"/>
        <d v="2025-06-09T00:00:00"/>
        <d v="2025-06-12T00:00:00"/>
        <d v="2025-06-15T00:00:00"/>
        <d v="2025-06-18T00:00:00"/>
        <d v="2025-06-21T00:00:00"/>
        <d v="2025-06-24T00:00:00"/>
        <d v="2025-06-27T00:00:00"/>
        <d v="2025-06-30T00:00:00"/>
        <d v="2025-07-03T00:00:00"/>
        <d v="2025-07-06T00:00:00"/>
        <d v="2025-07-09T00:00:00"/>
        <d v="2025-07-12T00:00:00"/>
        <d v="2025-07-15T00:00:00"/>
        <d v="2025-07-18T00:00:00"/>
        <d v="2025-07-21T00:00:00"/>
        <d v="2025-07-24T00:00:00"/>
        <d v="2025-07-27T00:00:00"/>
        <d v="2025-07-30T00:00:00"/>
        <d v="2025-08-02T00:00:00"/>
        <d v="2025-08-05T00:00:00"/>
        <d v="2025-08-08T00:00:00"/>
        <d v="2025-08-11T00:00:00"/>
        <d v="2025-08-14T00:00:00"/>
        <d v="2025-08-17T00:00:00"/>
        <d v="2025-08-20T00:00:00"/>
        <d v="2025-08-23T00:00:00"/>
        <d v="2025-08-26T00:00:00"/>
        <d v="2025-08-29T00:00:00"/>
        <d v="2025-09-01T00:00:00"/>
        <d v="2025-09-04T00:00:00"/>
        <d v="2025-09-07T00:00:00"/>
        <d v="2025-09-10T00:00:00"/>
        <d v="2025-09-13T00:00:00"/>
        <d v="2025-09-16T00:00:00"/>
        <d v="2025-09-19T00:00:00"/>
        <d v="2025-09-22T00:00:00"/>
        <d v="2025-09-25T00:00:00"/>
        <d v="2025-09-28T00:00:00"/>
        <d v="2025-10-01T00:00:00"/>
        <d v="2025-10-04T00:00:00"/>
        <d v="2025-10-07T00:00:00"/>
        <d v="2025-10-10T00:00:00"/>
        <d v="2025-10-13T00:00:00"/>
        <d v="2025-10-16T00:00:00"/>
        <d v="2025-10-19T00:00:00"/>
        <d v="2025-10-22T00:00:00"/>
        <d v="2025-10-25T00:00:00"/>
      </sharedItems>
      <fieldGroup par="7"/>
    </cacheField>
    <cacheField name="Region" numFmtId="0">
      <sharedItems count="4">
        <s v="South"/>
        <s v="West"/>
        <s v="North"/>
        <s v="East"/>
      </sharedItems>
    </cacheField>
    <cacheField name="Product" numFmtId="0">
      <sharedItems count="6">
        <s v="Tablet"/>
        <s v="Laptop"/>
        <s v="Keyboard"/>
        <s v="Headset"/>
        <s v="Monitor"/>
        <s v="Mobile"/>
      </sharedItems>
    </cacheField>
    <cacheField name="Salesperson" numFmtId="0">
      <sharedItems count="25">
        <s v="Arjun Patel"/>
        <s v="Manish Gupta"/>
        <s v="Aman Verma"/>
        <s v="Neha Gupta"/>
        <s v="Sakshi Joshi"/>
        <s v="Aarav Rao"/>
        <s v="Bhavna Kapoor"/>
        <s v="Aarav Singh"/>
        <s v="Kabir Mehta"/>
        <s v="Ananya Roy"/>
        <s v="Nisha Malhotra"/>
        <s v="Zara Khan"/>
        <s v="Karan Kapoor"/>
        <s v="Naina Gupta"/>
        <s v="Sanjay Bose"/>
        <s v="Rahul Sharma"/>
        <s v="Zara Kapoor"/>
        <s v="Rohan Das"/>
        <s v="Arnav Yadav"/>
        <s v="Priya Singh"/>
        <s v="Manish Mishra"/>
        <s v="Simran Kaur"/>
        <s v="Ritu Iyer"/>
        <s v="Ira Malhotra"/>
        <s v="Meera Joshi"/>
      </sharedItems>
    </cacheField>
    <cacheField name="Units Sold" numFmtId="0">
      <sharedItems containsSemiMixedTypes="0" containsString="0" containsNumber="1" containsInteger="1" minValue="1" maxValue="12"/>
    </cacheField>
    <cacheField name="Revenue" numFmtId="0">
      <sharedItems containsSemiMixedTypes="0" containsString="0" containsNumber="1" containsInteger="1" minValue="3366" maxValue="659989"/>
    </cacheField>
    <cacheField name="Days (Date)" numFmtId="0" databaseField="0">
      <fieldGroup base="0">
        <rangePr groupBy="days" startDate="2025-01-01T00:00:00" endDate="2025-10-2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0/2025"/>
        </groupItems>
      </fieldGroup>
    </cacheField>
    <cacheField name="Months (Date)" numFmtId="0" databaseField="0">
      <fieldGroup base="0">
        <rangePr groupBy="months" startDate="2025-01-01T00:00:00" endDate="2025-10-26T00:00:00"/>
        <groupItems count="14">
          <s v="&lt;01/01/2025"/>
          <s v="Jan"/>
          <s v="Feb"/>
          <s v="Mar"/>
          <s v="Apr"/>
          <s v="May"/>
          <s v="Jun"/>
          <s v="Jul"/>
          <s v="Aug"/>
          <s v="Sep"/>
          <s v="Oct"/>
          <s v="Nov"/>
          <s v="Dec"/>
          <s v="&gt;26/10/2025"/>
        </groupItems>
      </fieldGroup>
    </cacheField>
  </cacheFields>
  <extLst>
    <ext xmlns:x14="http://schemas.microsoft.com/office/spreadsheetml/2009/9/main" uri="{725AE2AE-9491-48be-B2B4-4EB974FC3084}">
      <x14:pivotCacheDefinition pivotCacheId="16365915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366890046294" createdVersion="8" refreshedVersion="8" minRefreshableVersion="3" recordCount="100" xr:uid="{D5F7C7C4-C6AA-4C1D-9EE2-621A0354DD06}">
  <cacheSource type="worksheet">
    <worksheetSource ref="A5:F105" sheet="Pivot_Charts"/>
  </cacheSource>
  <cacheFields count="6">
    <cacheField name="Date" numFmtId="164">
      <sharedItems containsSemiMixedTypes="0" containsNonDate="0" containsDate="1" containsString="0" minDate="2025-01-01T00:00:00" maxDate="2025-10-26T00:00:00"/>
    </cacheField>
    <cacheField name="Region" numFmtId="0">
      <sharedItems count="4">
        <s v="South"/>
        <s v="West"/>
        <s v="North"/>
        <s v="East"/>
      </sharedItems>
    </cacheField>
    <cacheField name="Product" numFmtId="0">
      <sharedItems count="6">
        <s v="Tablet"/>
        <s v="Laptop"/>
        <s v="Keyboard"/>
        <s v="Headset"/>
        <s v="Monitor"/>
        <s v="Mobile"/>
      </sharedItems>
    </cacheField>
    <cacheField name="Salesperson" numFmtId="0">
      <sharedItems/>
    </cacheField>
    <cacheField name="Units Sold" numFmtId="0">
      <sharedItems containsSemiMixedTypes="0" containsString="0" containsNumber="1" containsInteger="1" minValue="1" maxValue="12"/>
    </cacheField>
    <cacheField name="Revenue" numFmtId="0">
      <sharedItems containsSemiMixedTypes="0" containsString="0" containsNumber="1" containsInteger="1" minValue="3366" maxValue="659989"/>
    </cacheField>
  </cacheFields>
  <extLst>
    <ext xmlns:x14="http://schemas.microsoft.com/office/spreadsheetml/2009/9/main" uri="{725AE2AE-9491-48be-B2B4-4EB974FC3084}">
      <x14:pivotCacheDefinition pivotCacheId="10279521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6.552863888886" createdVersion="8" refreshedVersion="8" minRefreshableVersion="3" recordCount="100" xr:uid="{970E65AB-BBD3-47F0-B7E2-EFD18A60475F}">
  <cacheSource type="worksheet">
    <worksheetSource ref="A5:F105" sheet="Slicers"/>
  </cacheSource>
  <cacheFields count="8">
    <cacheField name="Date" numFmtId="164">
      <sharedItems containsSemiMixedTypes="0" containsNonDate="0" containsDate="1" containsString="0" minDate="2025-01-01T00:00:00" maxDate="2025-10-26T00:00:00" count="100">
        <d v="2025-01-01T00:00:00"/>
        <d v="2025-01-04T00:00:00"/>
        <d v="2025-01-07T00:00:00"/>
        <d v="2025-01-10T00:00:00"/>
        <d v="2025-01-13T00:00:00"/>
        <d v="2025-01-16T00:00:00"/>
        <d v="2025-01-19T00:00:00"/>
        <d v="2025-01-22T00:00:00"/>
        <d v="2025-01-25T00:00:00"/>
        <d v="2025-01-28T00:00:00"/>
        <d v="2025-01-31T00:00:00"/>
        <d v="2025-02-03T00:00:00"/>
        <d v="2025-02-06T00:00:00"/>
        <d v="2025-02-09T00:00:00"/>
        <d v="2025-02-12T00:00:00"/>
        <d v="2025-02-15T00:00:00"/>
        <d v="2025-02-18T00:00:00"/>
        <d v="2025-02-21T00:00:00"/>
        <d v="2025-02-24T00:00:00"/>
        <d v="2025-02-27T00:00:00"/>
        <d v="2025-03-02T00:00:00"/>
        <d v="2025-03-05T00:00:00"/>
        <d v="2025-03-08T00:00:00"/>
        <d v="2025-03-11T00:00:00"/>
        <d v="2025-03-14T00:00:00"/>
        <d v="2025-03-17T00:00:00"/>
        <d v="2025-03-20T00:00:00"/>
        <d v="2025-03-23T00:00:00"/>
        <d v="2025-03-26T00:00:00"/>
        <d v="2025-03-29T00:00:00"/>
        <d v="2025-04-01T00:00:00"/>
        <d v="2025-04-04T00:00:00"/>
        <d v="2025-04-07T00:00:00"/>
        <d v="2025-04-10T00:00:00"/>
        <d v="2025-04-13T00:00:00"/>
        <d v="2025-04-16T00:00:00"/>
        <d v="2025-04-19T00:00:00"/>
        <d v="2025-04-22T00:00:00"/>
        <d v="2025-04-25T00:00:00"/>
        <d v="2025-04-28T00:00:00"/>
        <d v="2025-05-01T00:00:00"/>
        <d v="2025-05-04T00:00:00"/>
        <d v="2025-05-07T00:00:00"/>
        <d v="2025-05-10T00:00:00"/>
        <d v="2025-05-13T00:00:00"/>
        <d v="2025-05-16T00:00:00"/>
        <d v="2025-05-19T00:00:00"/>
        <d v="2025-05-22T00:00:00"/>
        <d v="2025-05-25T00:00:00"/>
        <d v="2025-05-28T00:00:00"/>
        <d v="2025-05-31T00:00:00"/>
        <d v="2025-06-03T00:00:00"/>
        <d v="2025-06-06T00:00:00"/>
        <d v="2025-06-09T00:00:00"/>
        <d v="2025-06-12T00:00:00"/>
        <d v="2025-06-15T00:00:00"/>
        <d v="2025-06-18T00:00:00"/>
        <d v="2025-06-21T00:00:00"/>
        <d v="2025-06-24T00:00:00"/>
        <d v="2025-06-27T00:00:00"/>
        <d v="2025-06-30T00:00:00"/>
        <d v="2025-07-03T00:00:00"/>
        <d v="2025-07-06T00:00:00"/>
        <d v="2025-07-09T00:00:00"/>
        <d v="2025-07-12T00:00:00"/>
        <d v="2025-07-15T00:00:00"/>
        <d v="2025-07-18T00:00:00"/>
        <d v="2025-07-21T00:00:00"/>
        <d v="2025-07-24T00:00:00"/>
        <d v="2025-07-27T00:00:00"/>
        <d v="2025-07-30T00:00:00"/>
        <d v="2025-08-02T00:00:00"/>
        <d v="2025-08-05T00:00:00"/>
        <d v="2025-08-08T00:00:00"/>
        <d v="2025-08-11T00:00:00"/>
        <d v="2025-08-14T00:00:00"/>
        <d v="2025-08-17T00:00:00"/>
        <d v="2025-08-20T00:00:00"/>
        <d v="2025-08-23T00:00:00"/>
        <d v="2025-08-26T00:00:00"/>
        <d v="2025-08-29T00:00:00"/>
        <d v="2025-09-01T00:00:00"/>
        <d v="2025-09-04T00:00:00"/>
        <d v="2025-09-07T00:00:00"/>
        <d v="2025-09-10T00:00:00"/>
        <d v="2025-09-13T00:00:00"/>
        <d v="2025-09-16T00:00:00"/>
        <d v="2025-09-19T00:00:00"/>
        <d v="2025-09-22T00:00:00"/>
        <d v="2025-09-25T00:00:00"/>
        <d v="2025-09-28T00:00:00"/>
        <d v="2025-10-01T00:00:00"/>
        <d v="2025-10-04T00:00:00"/>
        <d v="2025-10-07T00:00:00"/>
        <d v="2025-10-10T00:00:00"/>
        <d v="2025-10-13T00:00:00"/>
        <d v="2025-10-16T00:00:00"/>
        <d v="2025-10-19T00:00:00"/>
        <d v="2025-10-22T00:00:00"/>
        <d v="2025-10-25T00:00:00"/>
      </sharedItems>
      <fieldGroup par="7"/>
    </cacheField>
    <cacheField name="Region" numFmtId="0">
      <sharedItems count="4">
        <s v="South"/>
        <s v="West"/>
        <s v="North"/>
        <s v="East"/>
      </sharedItems>
    </cacheField>
    <cacheField name="Product" numFmtId="0">
      <sharedItems count="6">
        <s v="Tablet"/>
        <s v="Laptop"/>
        <s v="Keyboard"/>
        <s v="Headset"/>
        <s v="Monitor"/>
        <s v="Mobile"/>
      </sharedItems>
    </cacheField>
    <cacheField name="Salesperson" numFmtId="0">
      <sharedItems/>
    </cacheField>
    <cacheField name="Units Sold" numFmtId="0">
      <sharedItems containsSemiMixedTypes="0" containsString="0" containsNumber="1" containsInteger="1" minValue="1" maxValue="12"/>
    </cacheField>
    <cacheField name="Revenue" numFmtId="0">
      <sharedItems containsSemiMixedTypes="0" containsString="0" containsNumber="1" containsInteger="1" minValue="3366" maxValue="659989"/>
    </cacheField>
    <cacheField name="Days (Date)" numFmtId="0" databaseField="0">
      <fieldGroup base="0">
        <rangePr groupBy="days" startDate="2025-01-01T00:00:00" endDate="2025-10-26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10/2025"/>
        </groupItems>
      </fieldGroup>
    </cacheField>
    <cacheField name="Months (Date)" numFmtId="0" databaseField="0">
      <fieldGroup base="0">
        <rangePr groupBy="months" startDate="2025-01-01T00:00:00" endDate="2025-10-26T00:00:00"/>
        <groupItems count="14">
          <s v="&lt;01/01/2025"/>
          <s v="Jan"/>
          <s v="Feb"/>
          <s v="Mar"/>
          <s v="Apr"/>
          <s v="May"/>
          <s v="Jun"/>
          <s v="Jul"/>
          <s v="Aug"/>
          <s v="Sep"/>
          <s v="Oct"/>
          <s v="Nov"/>
          <s v="Dec"/>
          <s v="&gt;26/10/2025"/>
        </groupItems>
      </fieldGroup>
    </cacheField>
  </cacheFields>
  <extLst>
    <ext xmlns:x14="http://schemas.microsoft.com/office/spreadsheetml/2009/9/main" uri="{725AE2AE-9491-48be-B2B4-4EB974FC3084}">
      <x14:pivotCacheDefinition pivotCacheId="124137917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87.330853472224" createdVersion="8" refreshedVersion="8" minRefreshableVersion="3" recordCount="100" xr:uid="{1686A587-0D70-4593-A704-300704382ED5}">
  <cacheSource type="worksheet">
    <worksheetSource ref="B5:F105" sheet="Slicers"/>
  </cacheSource>
  <cacheFields count="5">
    <cacheField name="Region" numFmtId="0">
      <sharedItems/>
    </cacheField>
    <cacheField name="Product" numFmtId="0">
      <sharedItems count="6">
        <s v="Tablet"/>
        <s v="Laptop"/>
        <s v="Keyboard"/>
        <s v="Headset"/>
        <s v="Monitor"/>
        <s v="Mobile"/>
      </sharedItems>
    </cacheField>
    <cacheField name="Salesperson" numFmtId="0">
      <sharedItems/>
    </cacheField>
    <cacheField name="Units Sold" numFmtId="0">
      <sharedItems containsSemiMixedTypes="0" containsString="0" containsNumber="1" containsInteger="1" minValue="1" maxValue="12"/>
    </cacheField>
    <cacheField name="Revenue" numFmtId="0">
      <sharedItems containsSemiMixedTypes="0" containsString="0" containsNumber="1" containsInteger="1" minValue="3366" maxValue="659989"/>
    </cacheField>
  </cacheFields>
  <extLst>
    <ext xmlns:x14="http://schemas.microsoft.com/office/spreadsheetml/2009/9/main" uri="{725AE2AE-9491-48be-B2B4-4EB974FC3084}">
      <x14:pivotCacheDefinition pivotCacheId="15962183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n v="12"/>
    <n v="358885"/>
  </r>
  <r>
    <x v="1"/>
    <x v="1"/>
    <x v="1"/>
    <x v="1"/>
    <n v="4"/>
    <n v="219634"/>
  </r>
  <r>
    <x v="2"/>
    <x v="1"/>
    <x v="0"/>
    <x v="2"/>
    <n v="4"/>
    <n v="119826"/>
  </r>
  <r>
    <x v="3"/>
    <x v="2"/>
    <x v="2"/>
    <x v="3"/>
    <n v="7"/>
    <n v="18189"/>
  </r>
  <r>
    <x v="4"/>
    <x v="3"/>
    <x v="1"/>
    <x v="4"/>
    <n v="5"/>
    <n v="275876"/>
  </r>
  <r>
    <x v="5"/>
    <x v="1"/>
    <x v="2"/>
    <x v="5"/>
    <n v="6"/>
    <n v="13226"/>
  </r>
  <r>
    <x v="6"/>
    <x v="2"/>
    <x v="0"/>
    <x v="0"/>
    <n v="10"/>
    <n v="300174"/>
  </r>
  <r>
    <x v="7"/>
    <x v="2"/>
    <x v="1"/>
    <x v="6"/>
    <n v="7"/>
    <n v="385831"/>
  </r>
  <r>
    <x v="8"/>
    <x v="3"/>
    <x v="3"/>
    <x v="6"/>
    <n v="9"/>
    <n v="34947"/>
  </r>
  <r>
    <x v="9"/>
    <x v="1"/>
    <x v="4"/>
    <x v="3"/>
    <n v="5"/>
    <n v="58363"/>
  </r>
  <r>
    <x v="10"/>
    <x v="1"/>
    <x v="1"/>
    <x v="7"/>
    <n v="9"/>
    <n v="494614"/>
  </r>
  <r>
    <x v="11"/>
    <x v="3"/>
    <x v="3"/>
    <x v="8"/>
    <n v="11"/>
    <n v="44704"/>
  </r>
  <r>
    <x v="12"/>
    <x v="3"/>
    <x v="2"/>
    <x v="9"/>
    <n v="12"/>
    <n v="30460"/>
  </r>
  <r>
    <x v="13"/>
    <x v="3"/>
    <x v="2"/>
    <x v="10"/>
    <n v="6"/>
    <n v="16296"/>
  </r>
  <r>
    <x v="14"/>
    <x v="3"/>
    <x v="4"/>
    <x v="11"/>
    <n v="4"/>
    <n v="49444"/>
  </r>
  <r>
    <x v="15"/>
    <x v="1"/>
    <x v="2"/>
    <x v="12"/>
    <n v="3"/>
    <n v="10162"/>
  </r>
  <r>
    <x v="16"/>
    <x v="3"/>
    <x v="3"/>
    <x v="5"/>
    <n v="1"/>
    <n v="4489"/>
  </r>
  <r>
    <x v="17"/>
    <x v="3"/>
    <x v="5"/>
    <x v="10"/>
    <n v="10"/>
    <n v="222969"/>
  </r>
  <r>
    <x v="18"/>
    <x v="3"/>
    <x v="3"/>
    <x v="13"/>
    <n v="8"/>
    <n v="31750"/>
  </r>
  <r>
    <x v="19"/>
    <x v="1"/>
    <x v="2"/>
    <x v="0"/>
    <n v="11"/>
    <n v="26194"/>
  </r>
  <r>
    <x v="20"/>
    <x v="3"/>
    <x v="4"/>
    <x v="14"/>
    <n v="11"/>
    <n v="132745"/>
  </r>
  <r>
    <x v="21"/>
    <x v="2"/>
    <x v="5"/>
    <x v="14"/>
    <n v="5"/>
    <n v="109840"/>
  </r>
  <r>
    <x v="22"/>
    <x v="0"/>
    <x v="5"/>
    <x v="15"/>
    <n v="1"/>
    <n v="22005"/>
  </r>
  <r>
    <x v="23"/>
    <x v="1"/>
    <x v="4"/>
    <x v="4"/>
    <n v="2"/>
    <n v="25730"/>
  </r>
  <r>
    <x v="24"/>
    <x v="1"/>
    <x v="2"/>
    <x v="16"/>
    <n v="4"/>
    <n v="11145"/>
  </r>
  <r>
    <x v="25"/>
    <x v="1"/>
    <x v="3"/>
    <x v="17"/>
    <n v="3"/>
    <n v="10045"/>
  </r>
  <r>
    <x v="26"/>
    <x v="2"/>
    <x v="3"/>
    <x v="17"/>
    <n v="3"/>
    <n v="14243"/>
  </r>
  <r>
    <x v="27"/>
    <x v="1"/>
    <x v="1"/>
    <x v="5"/>
    <n v="4"/>
    <n v="218994"/>
  </r>
  <r>
    <x v="28"/>
    <x v="1"/>
    <x v="5"/>
    <x v="13"/>
    <n v="11"/>
    <n v="244351"/>
  </r>
  <r>
    <x v="29"/>
    <x v="3"/>
    <x v="3"/>
    <x v="6"/>
    <n v="12"/>
    <n v="50135"/>
  </r>
  <r>
    <x v="30"/>
    <x v="1"/>
    <x v="4"/>
    <x v="13"/>
    <n v="3"/>
    <n v="37888"/>
  </r>
  <r>
    <x v="31"/>
    <x v="1"/>
    <x v="0"/>
    <x v="4"/>
    <n v="4"/>
    <n v="120271"/>
  </r>
  <r>
    <x v="32"/>
    <x v="1"/>
    <x v="2"/>
    <x v="17"/>
    <n v="5"/>
    <n v="14103"/>
  </r>
  <r>
    <x v="33"/>
    <x v="2"/>
    <x v="2"/>
    <x v="2"/>
    <n v="4"/>
    <n v="10225"/>
  </r>
  <r>
    <x v="34"/>
    <x v="3"/>
    <x v="0"/>
    <x v="5"/>
    <n v="2"/>
    <n v="59133"/>
  </r>
  <r>
    <x v="35"/>
    <x v="0"/>
    <x v="5"/>
    <x v="18"/>
    <n v="12"/>
    <n v="263251"/>
  </r>
  <r>
    <x v="36"/>
    <x v="0"/>
    <x v="1"/>
    <x v="10"/>
    <n v="7"/>
    <n v="385710"/>
  </r>
  <r>
    <x v="37"/>
    <x v="1"/>
    <x v="3"/>
    <x v="19"/>
    <n v="4"/>
    <n v="17441"/>
  </r>
  <r>
    <x v="38"/>
    <x v="1"/>
    <x v="4"/>
    <x v="20"/>
    <n v="1"/>
    <n v="14716"/>
  </r>
  <r>
    <x v="39"/>
    <x v="1"/>
    <x v="3"/>
    <x v="15"/>
    <n v="6"/>
    <n v="24446"/>
  </r>
  <r>
    <x v="40"/>
    <x v="1"/>
    <x v="3"/>
    <x v="5"/>
    <n v="12"/>
    <n v="50473"/>
  </r>
  <r>
    <x v="41"/>
    <x v="0"/>
    <x v="3"/>
    <x v="17"/>
    <n v="5"/>
    <n v="21570"/>
  </r>
  <r>
    <x v="42"/>
    <x v="1"/>
    <x v="1"/>
    <x v="18"/>
    <n v="6"/>
    <n v="331312"/>
  </r>
  <r>
    <x v="43"/>
    <x v="0"/>
    <x v="3"/>
    <x v="11"/>
    <n v="10"/>
    <n v="42375"/>
  </r>
  <r>
    <x v="44"/>
    <x v="2"/>
    <x v="3"/>
    <x v="16"/>
    <n v="10"/>
    <n v="38222"/>
  </r>
  <r>
    <x v="45"/>
    <x v="2"/>
    <x v="2"/>
    <x v="10"/>
    <n v="3"/>
    <n v="9282"/>
  </r>
  <r>
    <x v="46"/>
    <x v="0"/>
    <x v="1"/>
    <x v="21"/>
    <n v="7"/>
    <n v="385681"/>
  </r>
  <r>
    <x v="47"/>
    <x v="0"/>
    <x v="3"/>
    <x v="22"/>
    <n v="6"/>
    <n v="25105"/>
  </r>
  <r>
    <x v="48"/>
    <x v="3"/>
    <x v="3"/>
    <x v="21"/>
    <n v="2"/>
    <n v="9852"/>
  </r>
  <r>
    <x v="49"/>
    <x v="2"/>
    <x v="2"/>
    <x v="5"/>
    <n v="1"/>
    <n v="3366"/>
  </r>
  <r>
    <x v="50"/>
    <x v="0"/>
    <x v="2"/>
    <x v="8"/>
    <n v="11"/>
    <n v="25829"/>
  </r>
  <r>
    <x v="51"/>
    <x v="2"/>
    <x v="5"/>
    <x v="3"/>
    <n v="1"/>
    <n v="21248"/>
  </r>
  <r>
    <x v="52"/>
    <x v="0"/>
    <x v="5"/>
    <x v="1"/>
    <n v="11"/>
    <n v="240937"/>
  </r>
  <r>
    <x v="53"/>
    <x v="0"/>
    <x v="3"/>
    <x v="20"/>
    <n v="5"/>
    <n v="21021"/>
  </r>
  <r>
    <x v="54"/>
    <x v="0"/>
    <x v="4"/>
    <x v="6"/>
    <n v="12"/>
    <n v="142938"/>
  </r>
  <r>
    <x v="55"/>
    <x v="0"/>
    <x v="0"/>
    <x v="9"/>
    <n v="10"/>
    <n v="298210"/>
  </r>
  <r>
    <x v="56"/>
    <x v="3"/>
    <x v="4"/>
    <x v="14"/>
    <n v="7"/>
    <n v="85249"/>
  </r>
  <r>
    <x v="57"/>
    <x v="0"/>
    <x v="1"/>
    <x v="16"/>
    <n v="12"/>
    <n v="659989"/>
  </r>
  <r>
    <x v="58"/>
    <x v="2"/>
    <x v="2"/>
    <x v="4"/>
    <n v="5"/>
    <n v="15418"/>
  </r>
  <r>
    <x v="59"/>
    <x v="2"/>
    <x v="4"/>
    <x v="19"/>
    <n v="6"/>
    <n v="74364"/>
  </r>
  <r>
    <x v="60"/>
    <x v="1"/>
    <x v="2"/>
    <x v="23"/>
    <n v="2"/>
    <n v="7144"/>
  </r>
  <r>
    <x v="61"/>
    <x v="3"/>
    <x v="1"/>
    <x v="10"/>
    <n v="8"/>
    <n v="438864"/>
  </r>
  <r>
    <x v="62"/>
    <x v="1"/>
    <x v="0"/>
    <x v="24"/>
    <n v="8"/>
    <n v="239253"/>
  </r>
  <r>
    <x v="63"/>
    <x v="1"/>
    <x v="5"/>
    <x v="12"/>
    <n v="9"/>
    <n v="198212"/>
  </r>
  <r>
    <x v="64"/>
    <x v="1"/>
    <x v="3"/>
    <x v="10"/>
    <n v="12"/>
    <n v="50853"/>
  </r>
  <r>
    <x v="65"/>
    <x v="3"/>
    <x v="0"/>
    <x v="17"/>
    <n v="2"/>
    <n v="60284"/>
  </r>
  <r>
    <x v="66"/>
    <x v="1"/>
    <x v="5"/>
    <x v="4"/>
    <n v="8"/>
    <n v="178668"/>
  </r>
  <r>
    <x v="67"/>
    <x v="1"/>
    <x v="0"/>
    <x v="15"/>
    <n v="8"/>
    <n v="240662"/>
  </r>
  <r>
    <x v="68"/>
    <x v="0"/>
    <x v="3"/>
    <x v="3"/>
    <n v="6"/>
    <n v="24116"/>
  </r>
  <r>
    <x v="69"/>
    <x v="3"/>
    <x v="0"/>
    <x v="6"/>
    <n v="12"/>
    <n v="360263"/>
  </r>
  <r>
    <x v="70"/>
    <x v="2"/>
    <x v="4"/>
    <x v="3"/>
    <n v="2"/>
    <n v="23977"/>
  </r>
  <r>
    <x v="71"/>
    <x v="1"/>
    <x v="3"/>
    <x v="5"/>
    <n v="4"/>
    <n v="17900"/>
  </r>
  <r>
    <x v="72"/>
    <x v="1"/>
    <x v="3"/>
    <x v="15"/>
    <n v="2"/>
    <n v="8410"/>
  </r>
  <r>
    <x v="73"/>
    <x v="0"/>
    <x v="3"/>
    <x v="20"/>
    <n v="4"/>
    <n v="16508"/>
  </r>
  <r>
    <x v="74"/>
    <x v="3"/>
    <x v="3"/>
    <x v="5"/>
    <n v="9"/>
    <n v="36816"/>
  </r>
  <r>
    <x v="75"/>
    <x v="1"/>
    <x v="2"/>
    <x v="5"/>
    <n v="6"/>
    <n v="15882"/>
  </r>
  <r>
    <x v="76"/>
    <x v="1"/>
    <x v="0"/>
    <x v="2"/>
    <n v="5"/>
    <n v="149888"/>
  </r>
  <r>
    <x v="77"/>
    <x v="2"/>
    <x v="2"/>
    <x v="3"/>
    <n v="6"/>
    <n v="13979"/>
  </r>
  <r>
    <x v="78"/>
    <x v="0"/>
    <x v="5"/>
    <x v="3"/>
    <n v="12"/>
    <n v="265966"/>
  </r>
  <r>
    <x v="79"/>
    <x v="3"/>
    <x v="2"/>
    <x v="16"/>
    <n v="9"/>
    <n v="25388"/>
  </r>
  <r>
    <x v="80"/>
    <x v="3"/>
    <x v="1"/>
    <x v="3"/>
    <n v="5"/>
    <n v="274863"/>
  </r>
  <r>
    <x v="81"/>
    <x v="3"/>
    <x v="5"/>
    <x v="2"/>
    <n v="1"/>
    <n v="24375"/>
  </r>
  <r>
    <x v="82"/>
    <x v="0"/>
    <x v="0"/>
    <x v="19"/>
    <n v="1"/>
    <n v="32533"/>
  </r>
  <r>
    <x v="83"/>
    <x v="3"/>
    <x v="2"/>
    <x v="11"/>
    <n v="11"/>
    <n v="29521"/>
  </r>
  <r>
    <x v="84"/>
    <x v="2"/>
    <x v="1"/>
    <x v="16"/>
    <n v="5"/>
    <n v="276845"/>
  </r>
  <r>
    <x v="85"/>
    <x v="1"/>
    <x v="3"/>
    <x v="22"/>
    <n v="3"/>
    <n v="10420"/>
  </r>
  <r>
    <x v="86"/>
    <x v="3"/>
    <x v="3"/>
    <x v="9"/>
    <n v="2"/>
    <n v="9282"/>
  </r>
  <r>
    <x v="87"/>
    <x v="1"/>
    <x v="1"/>
    <x v="16"/>
    <n v="11"/>
    <n v="603439"/>
  </r>
  <r>
    <x v="88"/>
    <x v="0"/>
    <x v="5"/>
    <x v="16"/>
    <n v="5"/>
    <n v="108697"/>
  </r>
  <r>
    <x v="89"/>
    <x v="0"/>
    <x v="1"/>
    <x v="5"/>
    <n v="7"/>
    <n v="387966"/>
  </r>
  <r>
    <x v="90"/>
    <x v="0"/>
    <x v="4"/>
    <x v="18"/>
    <n v="8"/>
    <n v="97626"/>
  </r>
  <r>
    <x v="91"/>
    <x v="3"/>
    <x v="4"/>
    <x v="10"/>
    <n v="5"/>
    <n v="62658"/>
  </r>
  <r>
    <x v="92"/>
    <x v="2"/>
    <x v="4"/>
    <x v="12"/>
    <n v="2"/>
    <n v="23702"/>
  </r>
  <r>
    <x v="93"/>
    <x v="0"/>
    <x v="0"/>
    <x v="14"/>
    <n v="2"/>
    <n v="59286"/>
  </r>
  <r>
    <x v="94"/>
    <x v="0"/>
    <x v="5"/>
    <x v="5"/>
    <n v="2"/>
    <n v="43282"/>
  </r>
  <r>
    <x v="95"/>
    <x v="2"/>
    <x v="3"/>
    <x v="13"/>
    <n v="12"/>
    <n v="50864"/>
  </r>
  <r>
    <x v="96"/>
    <x v="1"/>
    <x v="0"/>
    <x v="19"/>
    <n v="4"/>
    <n v="120360"/>
  </r>
  <r>
    <x v="97"/>
    <x v="3"/>
    <x v="2"/>
    <x v="13"/>
    <n v="2"/>
    <n v="4912"/>
  </r>
  <r>
    <x v="98"/>
    <x v="3"/>
    <x v="2"/>
    <x v="16"/>
    <n v="11"/>
    <n v="27120"/>
  </r>
  <r>
    <x v="99"/>
    <x v="1"/>
    <x v="1"/>
    <x v="5"/>
    <n v="4"/>
    <n v="2192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d v="2025-01-01T00:00:00"/>
    <x v="0"/>
    <x v="0"/>
    <s v="Arjun Patel"/>
    <n v="12"/>
    <n v="358885"/>
  </r>
  <r>
    <d v="2025-01-04T00:00:00"/>
    <x v="1"/>
    <x v="1"/>
    <s v="Manish Gupta"/>
    <n v="4"/>
    <n v="219634"/>
  </r>
  <r>
    <d v="2025-01-07T00:00:00"/>
    <x v="1"/>
    <x v="0"/>
    <s v="Aman Verma"/>
    <n v="4"/>
    <n v="119826"/>
  </r>
  <r>
    <d v="2025-01-10T00:00:00"/>
    <x v="2"/>
    <x v="2"/>
    <s v="Neha Gupta"/>
    <n v="7"/>
    <n v="18189"/>
  </r>
  <r>
    <d v="2025-01-13T00:00:00"/>
    <x v="3"/>
    <x v="1"/>
    <s v="Sakshi Joshi"/>
    <n v="5"/>
    <n v="275876"/>
  </r>
  <r>
    <d v="2025-01-16T00:00:00"/>
    <x v="1"/>
    <x v="2"/>
    <s v="Aarav Rao"/>
    <n v="6"/>
    <n v="13226"/>
  </r>
  <r>
    <d v="2025-01-19T00:00:00"/>
    <x v="2"/>
    <x v="0"/>
    <s v="Arjun Patel"/>
    <n v="10"/>
    <n v="300174"/>
  </r>
  <r>
    <d v="2025-01-22T00:00:00"/>
    <x v="2"/>
    <x v="1"/>
    <s v="Bhavna Kapoor"/>
    <n v="7"/>
    <n v="385831"/>
  </r>
  <r>
    <d v="2025-01-25T00:00:00"/>
    <x v="3"/>
    <x v="3"/>
    <s v="Bhavna Kapoor"/>
    <n v="9"/>
    <n v="34947"/>
  </r>
  <r>
    <d v="2025-01-28T00:00:00"/>
    <x v="1"/>
    <x v="4"/>
    <s v="Neha Gupta"/>
    <n v="5"/>
    <n v="58363"/>
  </r>
  <r>
    <d v="2025-01-31T00:00:00"/>
    <x v="1"/>
    <x v="1"/>
    <s v="Aarav Singh"/>
    <n v="9"/>
    <n v="494614"/>
  </r>
  <r>
    <d v="2025-02-03T00:00:00"/>
    <x v="3"/>
    <x v="3"/>
    <s v="Kabir Mehta"/>
    <n v="11"/>
    <n v="44704"/>
  </r>
  <r>
    <d v="2025-02-06T00:00:00"/>
    <x v="3"/>
    <x v="2"/>
    <s v="Ananya Roy"/>
    <n v="12"/>
    <n v="30460"/>
  </r>
  <r>
    <d v="2025-02-09T00:00:00"/>
    <x v="3"/>
    <x v="2"/>
    <s v="Nisha Malhotra"/>
    <n v="6"/>
    <n v="16296"/>
  </r>
  <r>
    <d v="2025-02-12T00:00:00"/>
    <x v="3"/>
    <x v="4"/>
    <s v="Zara Khan"/>
    <n v="4"/>
    <n v="49444"/>
  </r>
  <r>
    <d v="2025-02-15T00:00:00"/>
    <x v="1"/>
    <x v="2"/>
    <s v="Karan Kapoor"/>
    <n v="3"/>
    <n v="10162"/>
  </r>
  <r>
    <d v="2025-02-18T00:00:00"/>
    <x v="3"/>
    <x v="3"/>
    <s v="Aarav Rao"/>
    <n v="1"/>
    <n v="4489"/>
  </r>
  <r>
    <d v="2025-02-21T00:00:00"/>
    <x v="3"/>
    <x v="5"/>
    <s v="Nisha Malhotra"/>
    <n v="10"/>
    <n v="222969"/>
  </r>
  <r>
    <d v="2025-02-24T00:00:00"/>
    <x v="3"/>
    <x v="3"/>
    <s v="Naina Gupta"/>
    <n v="8"/>
    <n v="31750"/>
  </r>
  <r>
    <d v="2025-02-27T00:00:00"/>
    <x v="1"/>
    <x v="2"/>
    <s v="Arjun Patel"/>
    <n v="11"/>
    <n v="26194"/>
  </r>
  <r>
    <d v="2025-03-02T00:00:00"/>
    <x v="3"/>
    <x v="4"/>
    <s v="Sanjay Bose"/>
    <n v="11"/>
    <n v="132745"/>
  </r>
  <r>
    <d v="2025-03-05T00:00:00"/>
    <x v="2"/>
    <x v="5"/>
    <s v="Sanjay Bose"/>
    <n v="5"/>
    <n v="109840"/>
  </r>
  <r>
    <d v="2025-03-08T00:00:00"/>
    <x v="0"/>
    <x v="5"/>
    <s v="Rahul Sharma"/>
    <n v="1"/>
    <n v="22005"/>
  </r>
  <r>
    <d v="2025-03-11T00:00:00"/>
    <x v="1"/>
    <x v="4"/>
    <s v="Sakshi Joshi"/>
    <n v="2"/>
    <n v="25730"/>
  </r>
  <r>
    <d v="2025-03-14T00:00:00"/>
    <x v="1"/>
    <x v="2"/>
    <s v="Zara Kapoor"/>
    <n v="4"/>
    <n v="11145"/>
  </r>
  <r>
    <d v="2025-03-17T00:00:00"/>
    <x v="1"/>
    <x v="3"/>
    <s v="Rohan Das"/>
    <n v="3"/>
    <n v="10045"/>
  </r>
  <r>
    <d v="2025-03-20T00:00:00"/>
    <x v="2"/>
    <x v="3"/>
    <s v="Rohan Das"/>
    <n v="3"/>
    <n v="14243"/>
  </r>
  <r>
    <d v="2025-03-23T00:00:00"/>
    <x v="1"/>
    <x v="1"/>
    <s v="Aarav Rao"/>
    <n v="4"/>
    <n v="218994"/>
  </r>
  <r>
    <d v="2025-03-26T00:00:00"/>
    <x v="1"/>
    <x v="5"/>
    <s v="Naina Gupta"/>
    <n v="11"/>
    <n v="244351"/>
  </r>
  <r>
    <d v="2025-03-29T00:00:00"/>
    <x v="3"/>
    <x v="3"/>
    <s v="Bhavna Kapoor"/>
    <n v="12"/>
    <n v="50135"/>
  </r>
  <r>
    <d v="2025-04-01T00:00:00"/>
    <x v="1"/>
    <x v="4"/>
    <s v="Naina Gupta"/>
    <n v="3"/>
    <n v="37888"/>
  </r>
  <r>
    <d v="2025-04-04T00:00:00"/>
    <x v="1"/>
    <x v="0"/>
    <s v="Sakshi Joshi"/>
    <n v="4"/>
    <n v="120271"/>
  </r>
  <r>
    <d v="2025-04-07T00:00:00"/>
    <x v="1"/>
    <x v="2"/>
    <s v="Rohan Das"/>
    <n v="5"/>
    <n v="14103"/>
  </r>
  <r>
    <d v="2025-04-10T00:00:00"/>
    <x v="2"/>
    <x v="2"/>
    <s v="Aman Verma"/>
    <n v="4"/>
    <n v="10225"/>
  </r>
  <r>
    <d v="2025-04-13T00:00:00"/>
    <x v="3"/>
    <x v="0"/>
    <s v="Aarav Rao"/>
    <n v="2"/>
    <n v="59133"/>
  </r>
  <r>
    <d v="2025-04-16T00:00:00"/>
    <x v="0"/>
    <x v="5"/>
    <s v="Arnav Yadav"/>
    <n v="12"/>
    <n v="263251"/>
  </r>
  <r>
    <d v="2025-04-19T00:00:00"/>
    <x v="0"/>
    <x v="1"/>
    <s v="Nisha Malhotra"/>
    <n v="7"/>
    <n v="385710"/>
  </r>
  <r>
    <d v="2025-04-22T00:00:00"/>
    <x v="1"/>
    <x v="3"/>
    <s v="Priya Singh"/>
    <n v="4"/>
    <n v="17441"/>
  </r>
  <r>
    <d v="2025-04-25T00:00:00"/>
    <x v="1"/>
    <x v="4"/>
    <s v="Manish Mishra"/>
    <n v="1"/>
    <n v="14716"/>
  </r>
  <r>
    <d v="2025-04-28T00:00:00"/>
    <x v="1"/>
    <x v="3"/>
    <s v="Rahul Sharma"/>
    <n v="6"/>
    <n v="24446"/>
  </r>
  <r>
    <d v="2025-05-01T00:00:00"/>
    <x v="1"/>
    <x v="3"/>
    <s v="Aarav Rao"/>
    <n v="12"/>
    <n v="50473"/>
  </r>
  <r>
    <d v="2025-05-04T00:00:00"/>
    <x v="0"/>
    <x v="3"/>
    <s v="Rohan Das"/>
    <n v="5"/>
    <n v="21570"/>
  </r>
  <r>
    <d v="2025-05-07T00:00:00"/>
    <x v="1"/>
    <x v="1"/>
    <s v="Arnav Yadav"/>
    <n v="6"/>
    <n v="331312"/>
  </r>
  <r>
    <d v="2025-05-10T00:00:00"/>
    <x v="0"/>
    <x v="3"/>
    <s v="Zara Khan"/>
    <n v="10"/>
    <n v="42375"/>
  </r>
  <r>
    <d v="2025-05-13T00:00:00"/>
    <x v="2"/>
    <x v="3"/>
    <s v="Zara Kapoor"/>
    <n v="10"/>
    <n v="38222"/>
  </r>
  <r>
    <d v="2025-05-16T00:00:00"/>
    <x v="2"/>
    <x v="2"/>
    <s v="Nisha Malhotra"/>
    <n v="3"/>
    <n v="9282"/>
  </r>
  <r>
    <d v="2025-05-19T00:00:00"/>
    <x v="0"/>
    <x v="1"/>
    <s v="Simran Kaur"/>
    <n v="7"/>
    <n v="385681"/>
  </r>
  <r>
    <d v="2025-05-22T00:00:00"/>
    <x v="0"/>
    <x v="3"/>
    <s v="Ritu Iyer"/>
    <n v="6"/>
    <n v="25105"/>
  </r>
  <r>
    <d v="2025-05-25T00:00:00"/>
    <x v="3"/>
    <x v="3"/>
    <s v="Simran Kaur"/>
    <n v="2"/>
    <n v="9852"/>
  </r>
  <r>
    <d v="2025-05-28T00:00:00"/>
    <x v="2"/>
    <x v="2"/>
    <s v="Aarav Rao"/>
    <n v="1"/>
    <n v="3366"/>
  </r>
  <r>
    <d v="2025-05-31T00:00:00"/>
    <x v="0"/>
    <x v="2"/>
    <s v="Kabir Mehta"/>
    <n v="11"/>
    <n v="25829"/>
  </r>
  <r>
    <d v="2025-06-03T00:00:00"/>
    <x v="2"/>
    <x v="5"/>
    <s v="Neha Gupta"/>
    <n v="1"/>
    <n v="21248"/>
  </r>
  <r>
    <d v="2025-06-06T00:00:00"/>
    <x v="0"/>
    <x v="5"/>
    <s v="Manish Gupta"/>
    <n v="11"/>
    <n v="240937"/>
  </r>
  <r>
    <d v="2025-06-09T00:00:00"/>
    <x v="0"/>
    <x v="3"/>
    <s v="Manish Mishra"/>
    <n v="5"/>
    <n v="21021"/>
  </r>
  <r>
    <d v="2025-06-12T00:00:00"/>
    <x v="0"/>
    <x v="4"/>
    <s v="Bhavna Kapoor"/>
    <n v="12"/>
    <n v="142938"/>
  </r>
  <r>
    <d v="2025-06-15T00:00:00"/>
    <x v="0"/>
    <x v="0"/>
    <s v="Ananya Roy"/>
    <n v="10"/>
    <n v="298210"/>
  </r>
  <r>
    <d v="2025-06-18T00:00:00"/>
    <x v="3"/>
    <x v="4"/>
    <s v="Sanjay Bose"/>
    <n v="7"/>
    <n v="85249"/>
  </r>
  <r>
    <d v="2025-06-21T00:00:00"/>
    <x v="0"/>
    <x v="1"/>
    <s v="Zara Kapoor"/>
    <n v="12"/>
    <n v="659989"/>
  </r>
  <r>
    <d v="2025-06-24T00:00:00"/>
    <x v="2"/>
    <x v="2"/>
    <s v="Sakshi Joshi"/>
    <n v="5"/>
    <n v="15418"/>
  </r>
  <r>
    <d v="2025-06-27T00:00:00"/>
    <x v="2"/>
    <x v="4"/>
    <s v="Priya Singh"/>
    <n v="6"/>
    <n v="74364"/>
  </r>
  <r>
    <d v="2025-06-30T00:00:00"/>
    <x v="1"/>
    <x v="2"/>
    <s v="Ira Malhotra"/>
    <n v="2"/>
    <n v="7144"/>
  </r>
  <r>
    <d v="2025-07-03T00:00:00"/>
    <x v="3"/>
    <x v="1"/>
    <s v="Nisha Malhotra"/>
    <n v="8"/>
    <n v="438864"/>
  </r>
  <r>
    <d v="2025-07-06T00:00:00"/>
    <x v="1"/>
    <x v="0"/>
    <s v="Meera Joshi"/>
    <n v="8"/>
    <n v="239253"/>
  </r>
  <r>
    <d v="2025-07-09T00:00:00"/>
    <x v="1"/>
    <x v="5"/>
    <s v="Karan Kapoor"/>
    <n v="9"/>
    <n v="198212"/>
  </r>
  <r>
    <d v="2025-07-12T00:00:00"/>
    <x v="1"/>
    <x v="3"/>
    <s v="Nisha Malhotra"/>
    <n v="12"/>
    <n v="50853"/>
  </r>
  <r>
    <d v="2025-07-15T00:00:00"/>
    <x v="3"/>
    <x v="0"/>
    <s v="Rohan Das"/>
    <n v="2"/>
    <n v="60284"/>
  </r>
  <r>
    <d v="2025-07-18T00:00:00"/>
    <x v="1"/>
    <x v="5"/>
    <s v="Sakshi Joshi"/>
    <n v="8"/>
    <n v="178668"/>
  </r>
  <r>
    <d v="2025-07-21T00:00:00"/>
    <x v="1"/>
    <x v="0"/>
    <s v="Rahul Sharma"/>
    <n v="8"/>
    <n v="240662"/>
  </r>
  <r>
    <d v="2025-07-24T00:00:00"/>
    <x v="0"/>
    <x v="3"/>
    <s v="Neha Gupta"/>
    <n v="6"/>
    <n v="24116"/>
  </r>
  <r>
    <d v="2025-07-27T00:00:00"/>
    <x v="3"/>
    <x v="0"/>
    <s v="Bhavna Kapoor"/>
    <n v="12"/>
    <n v="360263"/>
  </r>
  <r>
    <d v="2025-07-30T00:00:00"/>
    <x v="2"/>
    <x v="4"/>
    <s v="Neha Gupta"/>
    <n v="2"/>
    <n v="23977"/>
  </r>
  <r>
    <d v="2025-08-02T00:00:00"/>
    <x v="1"/>
    <x v="3"/>
    <s v="Aarav Rao"/>
    <n v="4"/>
    <n v="17900"/>
  </r>
  <r>
    <d v="2025-08-05T00:00:00"/>
    <x v="1"/>
    <x v="3"/>
    <s v="Rahul Sharma"/>
    <n v="2"/>
    <n v="8410"/>
  </r>
  <r>
    <d v="2025-08-08T00:00:00"/>
    <x v="0"/>
    <x v="3"/>
    <s v="Manish Mishra"/>
    <n v="4"/>
    <n v="16508"/>
  </r>
  <r>
    <d v="2025-08-11T00:00:00"/>
    <x v="3"/>
    <x v="3"/>
    <s v="Aarav Rao"/>
    <n v="9"/>
    <n v="36816"/>
  </r>
  <r>
    <d v="2025-08-14T00:00:00"/>
    <x v="1"/>
    <x v="2"/>
    <s v="Aarav Rao"/>
    <n v="6"/>
    <n v="15882"/>
  </r>
  <r>
    <d v="2025-08-17T00:00:00"/>
    <x v="1"/>
    <x v="0"/>
    <s v="Aman Verma"/>
    <n v="5"/>
    <n v="149888"/>
  </r>
  <r>
    <d v="2025-08-20T00:00:00"/>
    <x v="2"/>
    <x v="2"/>
    <s v="Neha Gupta"/>
    <n v="6"/>
    <n v="13979"/>
  </r>
  <r>
    <d v="2025-08-23T00:00:00"/>
    <x v="0"/>
    <x v="5"/>
    <s v="Neha Gupta"/>
    <n v="12"/>
    <n v="265966"/>
  </r>
  <r>
    <d v="2025-08-26T00:00:00"/>
    <x v="3"/>
    <x v="2"/>
    <s v="Zara Kapoor"/>
    <n v="9"/>
    <n v="25388"/>
  </r>
  <r>
    <d v="2025-08-29T00:00:00"/>
    <x v="3"/>
    <x v="1"/>
    <s v="Neha Gupta"/>
    <n v="5"/>
    <n v="274863"/>
  </r>
  <r>
    <d v="2025-09-01T00:00:00"/>
    <x v="3"/>
    <x v="5"/>
    <s v="Aman Verma"/>
    <n v="1"/>
    <n v="24375"/>
  </r>
  <r>
    <d v="2025-09-04T00:00:00"/>
    <x v="0"/>
    <x v="0"/>
    <s v="Priya Singh"/>
    <n v="1"/>
    <n v="32533"/>
  </r>
  <r>
    <d v="2025-09-07T00:00:00"/>
    <x v="3"/>
    <x v="2"/>
    <s v="Zara Khan"/>
    <n v="11"/>
    <n v="29521"/>
  </r>
  <r>
    <d v="2025-09-10T00:00:00"/>
    <x v="2"/>
    <x v="1"/>
    <s v="Zara Kapoor"/>
    <n v="5"/>
    <n v="276845"/>
  </r>
  <r>
    <d v="2025-09-13T00:00:00"/>
    <x v="1"/>
    <x v="3"/>
    <s v="Ritu Iyer"/>
    <n v="3"/>
    <n v="10420"/>
  </r>
  <r>
    <d v="2025-09-16T00:00:00"/>
    <x v="3"/>
    <x v="3"/>
    <s v="Ananya Roy"/>
    <n v="2"/>
    <n v="9282"/>
  </r>
  <r>
    <d v="2025-09-19T00:00:00"/>
    <x v="1"/>
    <x v="1"/>
    <s v="Zara Kapoor"/>
    <n v="11"/>
    <n v="603439"/>
  </r>
  <r>
    <d v="2025-09-22T00:00:00"/>
    <x v="0"/>
    <x v="5"/>
    <s v="Zara Kapoor"/>
    <n v="5"/>
    <n v="108697"/>
  </r>
  <r>
    <d v="2025-09-25T00:00:00"/>
    <x v="0"/>
    <x v="1"/>
    <s v="Aarav Rao"/>
    <n v="7"/>
    <n v="387966"/>
  </r>
  <r>
    <d v="2025-09-28T00:00:00"/>
    <x v="0"/>
    <x v="4"/>
    <s v="Arnav Yadav"/>
    <n v="8"/>
    <n v="97626"/>
  </r>
  <r>
    <d v="2025-10-01T00:00:00"/>
    <x v="3"/>
    <x v="4"/>
    <s v="Nisha Malhotra"/>
    <n v="5"/>
    <n v="62658"/>
  </r>
  <r>
    <d v="2025-10-04T00:00:00"/>
    <x v="2"/>
    <x v="4"/>
    <s v="Karan Kapoor"/>
    <n v="2"/>
    <n v="23702"/>
  </r>
  <r>
    <d v="2025-10-07T00:00:00"/>
    <x v="0"/>
    <x v="0"/>
    <s v="Sanjay Bose"/>
    <n v="2"/>
    <n v="59286"/>
  </r>
  <r>
    <d v="2025-10-10T00:00:00"/>
    <x v="0"/>
    <x v="5"/>
    <s v="Aarav Rao"/>
    <n v="2"/>
    <n v="43282"/>
  </r>
  <r>
    <d v="2025-10-13T00:00:00"/>
    <x v="2"/>
    <x v="3"/>
    <s v="Naina Gupta"/>
    <n v="12"/>
    <n v="50864"/>
  </r>
  <r>
    <d v="2025-10-16T00:00:00"/>
    <x v="1"/>
    <x v="0"/>
    <s v="Priya Singh"/>
    <n v="4"/>
    <n v="120360"/>
  </r>
  <r>
    <d v="2025-10-19T00:00:00"/>
    <x v="3"/>
    <x v="2"/>
    <s v="Naina Gupta"/>
    <n v="2"/>
    <n v="4912"/>
  </r>
  <r>
    <d v="2025-10-22T00:00:00"/>
    <x v="3"/>
    <x v="2"/>
    <s v="Zara Kapoor"/>
    <n v="11"/>
    <n v="27120"/>
  </r>
  <r>
    <d v="2025-10-25T00:00:00"/>
    <x v="1"/>
    <x v="1"/>
    <s v="Aarav Rao"/>
    <n v="4"/>
    <n v="2192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s v="Arjun Patel"/>
    <n v="12"/>
    <n v="358885"/>
  </r>
  <r>
    <x v="1"/>
    <x v="1"/>
    <x v="1"/>
    <s v="Manish Gupta"/>
    <n v="4"/>
    <n v="219634"/>
  </r>
  <r>
    <x v="2"/>
    <x v="1"/>
    <x v="0"/>
    <s v="Aman Verma"/>
    <n v="4"/>
    <n v="119826"/>
  </r>
  <r>
    <x v="3"/>
    <x v="2"/>
    <x v="2"/>
    <s v="Neha Gupta"/>
    <n v="7"/>
    <n v="18189"/>
  </r>
  <r>
    <x v="4"/>
    <x v="3"/>
    <x v="1"/>
    <s v="Sakshi Joshi"/>
    <n v="5"/>
    <n v="275876"/>
  </r>
  <r>
    <x v="5"/>
    <x v="1"/>
    <x v="2"/>
    <s v="Aarav Rao"/>
    <n v="6"/>
    <n v="13226"/>
  </r>
  <r>
    <x v="6"/>
    <x v="2"/>
    <x v="0"/>
    <s v="Arjun Patel"/>
    <n v="10"/>
    <n v="300174"/>
  </r>
  <r>
    <x v="7"/>
    <x v="2"/>
    <x v="1"/>
    <s v="Bhavna Kapoor"/>
    <n v="7"/>
    <n v="385831"/>
  </r>
  <r>
    <x v="8"/>
    <x v="3"/>
    <x v="3"/>
    <s v="Bhavna Kapoor"/>
    <n v="9"/>
    <n v="34947"/>
  </r>
  <r>
    <x v="9"/>
    <x v="1"/>
    <x v="4"/>
    <s v="Neha Gupta"/>
    <n v="5"/>
    <n v="58363"/>
  </r>
  <r>
    <x v="10"/>
    <x v="1"/>
    <x v="1"/>
    <s v="Aarav Singh"/>
    <n v="9"/>
    <n v="494614"/>
  </r>
  <r>
    <x v="11"/>
    <x v="3"/>
    <x v="3"/>
    <s v="Kabir Mehta"/>
    <n v="11"/>
    <n v="44704"/>
  </r>
  <r>
    <x v="12"/>
    <x v="3"/>
    <x v="2"/>
    <s v="Ananya Roy"/>
    <n v="12"/>
    <n v="30460"/>
  </r>
  <r>
    <x v="13"/>
    <x v="3"/>
    <x v="2"/>
    <s v="Nisha Malhotra"/>
    <n v="6"/>
    <n v="16296"/>
  </r>
  <r>
    <x v="14"/>
    <x v="3"/>
    <x v="4"/>
    <s v="Zara Khan"/>
    <n v="4"/>
    <n v="49444"/>
  </r>
  <r>
    <x v="15"/>
    <x v="1"/>
    <x v="2"/>
    <s v="Karan Kapoor"/>
    <n v="3"/>
    <n v="10162"/>
  </r>
  <r>
    <x v="16"/>
    <x v="3"/>
    <x v="3"/>
    <s v="Aarav Rao"/>
    <n v="1"/>
    <n v="4489"/>
  </r>
  <r>
    <x v="17"/>
    <x v="3"/>
    <x v="5"/>
    <s v="Nisha Malhotra"/>
    <n v="10"/>
    <n v="222969"/>
  </r>
  <r>
    <x v="18"/>
    <x v="3"/>
    <x v="3"/>
    <s v="Naina Gupta"/>
    <n v="8"/>
    <n v="31750"/>
  </r>
  <r>
    <x v="19"/>
    <x v="1"/>
    <x v="2"/>
    <s v="Arjun Patel"/>
    <n v="11"/>
    <n v="26194"/>
  </r>
  <r>
    <x v="20"/>
    <x v="3"/>
    <x v="4"/>
    <s v="Sanjay Bose"/>
    <n v="11"/>
    <n v="132745"/>
  </r>
  <r>
    <x v="21"/>
    <x v="2"/>
    <x v="5"/>
    <s v="Sanjay Bose"/>
    <n v="5"/>
    <n v="109840"/>
  </r>
  <r>
    <x v="22"/>
    <x v="0"/>
    <x v="5"/>
    <s v="Rahul Sharma"/>
    <n v="1"/>
    <n v="22005"/>
  </r>
  <r>
    <x v="23"/>
    <x v="1"/>
    <x v="4"/>
    <s v="Sakshi Joshi"/>
    <n v="2"/>
    <n v="25730"/>
  </r>
  <r>
    <x v="24"/>
    <x v="1"/>
    <x v="2"/>
    <s v="Zara Kapoor"/>
    <n v="4"/>
    <n v="11145"/>
  </r>
  <r>
    <x v="25"/>
    <x v="1"/>
    <x v="3"/>
    <s v="Rohan Das"/>
    <n v="3"/>
    <n v="10045"/>
  </r>
  <r>
    <x v="26"/>
    <x v="2"/>
    <x v="3"/>
    <s v="Rohan Das"/>
    <n v="3"/>
    <n v="14243"/>
  </r>
  <r>
    <x v="27"/>
    <x v="1"/>
    <x v="1"/>
    <s v="Aarav Rao"/>
    <n v="4"/>
    <n v="218994"/>
  </r>
  <r>
    <x v="28"/>
    <x v="1"/>
    <x v="5"/>
    <s v="Naina Gupta"/>
    <n v="11"/>
    <n v="244351"/>
  </r>
  <r>
    <x v="29"/>
    <x v="3"/>
    <x v="3"/>
    <s v="Bhavna Kapoor"/>
    <n v="12"/>
    <n v="50135"/>
  </r>
  <r>
    <x v="30"/>
    <x v="1"/>
    <x v="4"/>
    <s v="Naina Gupta"/>
    <n v="3"/>
    <n v="37888"/>
  </r>
  <r>
    <x v="31"/>
    <x v="1"/>
    <x v="0"/>
    <s v="Sakshi Joshi"/>
    <n v="4"/>
    <n v="120271"/>
  </r>
  <r>
    <x v="32"/>
    <x v="1"/>
    <x v="2"/>
    <s v="Rohan Das"/>
    <n v="5"/>
    <n v="14103"/>
  </r>
  <r>
    <x v="33"/>
    <x v="2"/>
    <x v="2"/>
    <s v="Aman Verma"/>
    <n v="4"/>
    <n v="10225"/>
  </r>
  <r>
    <x v="34"/>
    <x v="3"/>
    <x v="0"/>
    <s v="Aarav Rao"/>
    <n v="2"/>
    <n v="59133"/>
  </r>
  <r>
    <x v="35"/>
    <x v="0"/>
    <x v="5"/>
    <s v="Arnav Yadav"/>
    <n v="12"/>
    <n v="263251"/>
  </r>
  <r>
    <x v="36"/>
    <x v="0"/>
    <x v="1"/>
    <s v="Nisha Malhotra"/>
    <n v="7"/>
    <n v="385710"/>
  </r>
  <r>
    <x v="37"/>
    <x v="1"/>
    <x v="3"/>
    <s v="Priya Singh"/>
    <n v="4"/>
    <n v="17441"/>
  </r>
  <r>
    <x v="38"/>
    <x v="1"/>
    <x v="4"/>
    <s v="Manish Mishra"/>
    <n v="1"/>
    <n v="14716"/>
  </r>
  <r>
    <x v="39"/>
    <x v="1"/>
    <x v="3"/>
    <s v="Rahul Sharma"/>
    <n v="6"/>
    <n v="24446"/>
  </r>
  <r>
    <x v="40"/>
    <x v="1"/>
    <x v="3"/>
    <s v="Aarav Rao"/>
    <n v="12"/>
    <n v="50473"/>
  </r>
  <r>
    <x v="41"/>
    <x v="0"/>
    <x v="3"/>
    <s v="Rohan Das"/>
    <n v="5"/>
    <n v="21570"/>
  </r>
  <r>
    <x v="42"/>
    <x v="1"/>
    <x v="1"/>
    <s v="Arnav Yadav"/>
    <n v="6"/>
    <n v="331312"/>
  </r>
  <r>
    <x v="43"/>
    <x v="0"/>
    <x v="3"/>
    <s v="Zara Khan"/>
    <n v="10"/>
    <n v="42375"/>
  </r>
  <r>
    <x v="44"/>
    <x v="2"/>
    <x v="3"/>
    <s v="Zara Kapoor"/>
    <n v="10"/>
    <n v="38222"/>
  </r>
  <r>
    <x v="45"/>
    <x v="2"/>
    <x v="2"/>
    <s v="Nisha Malhotra"/>
    <n v="3"/>
    <n v="9282"/>
  </r>
  <r>
    <x v="46"/>
    <x v="0"/>
    <x v="1"/>
    <s v="Simran Kaur"/>
    <n v="7"/>
    <n v="385681"/>
  </r>
  <r>
    <x v="47"/>
    <x v="0"/>
    <x v="3"/>
    <s v="Ritu Iyer"/>
    <n v="6"/>
    <n v="25105"/>
  </r>
  <r>
    <x v="48"/>
    <x v="3"/>
    <x v="3"/>
    <s v="Simran Kaur"/>
    <n v="2"/>
    <n v="9852"/>
  </r>
  <r>
    <x v="49"/>
    <x v="2"/>
    <x v="2"/>
    <s v="Aarav Rao"/>
    <n v="1"/>
    <n v="3366"/>
  </r>
  <r>
    <x v="50"/>
    <x v="0"/>
    <x v="2"/>
    <s v="Kabir Mehta"/>
    <n v="11"/>
    <n v="25829"/>
  </r>
  <r>
    <x v="51"/>
    <x v="2"/>
    <x v="5"/>
    <s v="Neha Gupta"/>
    <n v="1"/>
    <n v="21248"/>
  </r>
  <r>
    <x v="52"/>
    <x v="0"/>
    <x v="5"/>
    <s v="Manish Gupta"/>
    <n v="11"/>
    <n v="240937"/>
  </r>
  <r>
    <x v="53"/>
    <x v="0"/>
    <x v="3"/>
    <s v="Manish Mishra"/>
    <n v="5"/>
    <n v="21021"/>
  </r>
  <r>
    <x v="54"/>
    <x v="0"/>
    <x v="4"/>
    <s v="Bhavna Kapoor"/>
    <n v="12"/>
    <n v="142938"/>
  </r>
  <r>
    <x v="55"/>
    <x v="0"/>
    <x v="0"/>
    <s v="Ananya Roy"/>
    <n v="10"/>
    <n v="298210"/>
  </r>
  <r>
    <x v="56"/>
    <x v="3"/>
    <x v="4"/>
    <s v="Sanjay Bose"/>
    <n v="7"/>
    <n v="85249"/>
  </r>
  <r>
    <x v="57"/>
    <x v="0"/>
    <x v="1"/>
    <s v="Zara Kapoor"/>
    <n v="12"/>
    <n v="659989"/>
  </r>
  <r>
    <x v="58"/>
    <x v="2"/>
    <x v="2"/>
    <s v="Sakshi Joshi"/>
    <n v="5"/>
    <n v="15418"/>
  </r>
  <r>
    <x v="59"/>
    <x v="2"/>
    <x v="4"/>
    <s v="Priya Singh"/>
    <n v="6"/>
    <n v="74364"/>
  </r>
  <r>
    <x v="60"/>
    <x v="1"/>
    <x v="2"/>
    <s v="Ira Malhotra"/>
    <n v="2"/>
    <n v="7144"/>
  </r>
  <r>
    <x v="61"/>
    <x v="3"/>
    <x v="1"/>
    <s v="Nisha Malhotra"/>
    <n v="8"/>
    <n v="438864"/>
  </r>
  <r>
    <x v="62"/>
    <x v="1"/>
    <x v="0"/>
    <s v="Meera Joshi"/>
    <n v="8"/>
    <n v="239253"/>
  </r>
  <r>
    <x v="63"/>
    <x v="1"/>
    <x v="5"/>
    <s v="Karan Kapoor"/>
    <n v="9"/>
    <n v="198212"/>
  </r>
  <r>
    <x v="64"/>
    <x v="1"/>
    <x v="3"/>
    <s v="Nisha Malhotra"/>
    <n v="12"/>
    <n v="50853"/>
  </r>
  <r>
    <x v="65"/>
    <x v="3"/>
    <x v="0"/>
    <s v="Rohan Das"/>
    <n v="2"/>
    <n v="60284"/>
  </r>
  <r>
    <x v="66"/>
    <x v="1"/>
    <x v="5"/>
    <s v="Sakshi Joshi"/>
    <n v="8"/>
    <n v="178668"/>
  </r>
  <r>
    <x v="67"/>
    <x v="1"/>
    <x v="0"/>
    <s v="Rahul Sharma"/>
    <n v="8"/>
    <n v="240662"/>
  </r>
  <r>
    <x v="68"/>
    <x v="0"/>
    <x v="3"/>
    <s v="Neha Gupta"/>
    <n v="6"/>
    <n v="24116"/>
  </r>
  <r>
    <x v="69"/>
    <x v="3"/>
    <x v="0"/>
    <s v="Bhavna Kapoor"/>
    <n v="12"/>
    <n v="360263"/>
  </r>
  <r>
    <x v="70"/>
    <x v="2"/>
    <x v="4"/>
    <s v="Neha Gupta"/>
    <n v="2"/>
    <n v="23977"/>
  </r>
  <r>
    <x v="71"/>
    <x v="1"/>
    <x v="3"/>
    <s v="Aarav Rao"/>
    <n v="4"/>
    <n v="17900"/>
  </r>
  <r>
    <x v="72"/>
    <x v="1"/>
    <x v="3"/>
    <s v="Rahul Sharma"/>
    <n v="2"/>
    <n v="8410"/>
  </r>
  <r>
    <x v="73"/>
    <x v="0"/>
    <x v="3"/>
    <s v="Manish Mishra"/>
    <n v="4"/>
    <n v="16508"/>
  </r>
  <r>
    <x v="74"/>
    <x v="3"/>
    <x v="3"/>
    <s v="Aarav Rao"/>
    <n v="9"/>
    <n v="36816"/>
  </r>
  <r>
    <x v="75"/>
    <x v="1"/>
    <x v="2"/>
    <s v="Aarav Rao"/>
    <n v="6"/>
    <n v="15882"/>
  </r>
  <r>
    <x v="76"/>
    <x v="1"/>
    <x v="0"/>
    <s v="Aman Verma"/>
    <n v="5"/>
    <n v="149888"/>
  </r>
  <r>
    <x v="77"/>
    <x v="2"/>
    <x v="2"/>
    <s v="Neha Gupta"/>
    <n v="6"/>
    <n v="13979"/>
  </r>
  <r>
    <x v="78"/>
    <x v="0"/>
    <x v="5"/>
    <s v="Neha Gupta"/>
    <n v="12"/>
    <n v="265966"/>
  </r>
  <r>
    <x v="79"/>
    <x v="3"/>
    <x v="2"/>
    <s v="Zara Kapoor"/>
    <n v="9"/>
    <n v="25388"/>
  </r>
  <r>
    <x v="80"/>
    <x v="3"/>
    <x v="1"/>
    <s v="Neha Gupta"/>
    <n v="5"/>
    <n v="274863"/>
  </r>
  <r>
    <x v="81"/>
    <x v="3"/>
    <x v="5"/>
    <s v="Aman Verma"/>
    <n v="1"/>
    <n v="24375"/>
  </r>
  <r>
    <x v="82"/>
    <x v="0"/>
    <x v="0"/>
    <s v="Priya Singh"/>
    <n v="1"/>
    <n v="32533"/>
  </r>
  <r>
    <x v="83"/>
    <x v="3"/>
    <x v="2"/>
    <s v="Zara Khan"/>
    <n v="11"/>
    <n v="29521"/>
  </r>
  <r>
    <x v="84"/>
    <x v="2"/>
    <x v="1"/>
    <s v="Zara Kapoor"/>
    <n v="5"/>
    <n v="276845"/>
  </r>
  <r>
    <x v="85"/>
    <x v="1"/>
    <x v="3"/>
    <s v="Ritu Iyer"/>
    <n v="3"/>
    <n v="10420"/>
  </r>
  <r>
    <x v="86"/>
    <x v="3"/>
    <x v="3"/>
    <s v="Ananya Roy"/>
    <n v="2"/>
    <n v="9282"/>
  </r>
  <r>
    <x v="87"/>
    <x v="1"/>
    <x v="1"/>
    <s v="Zara Kapoor"/>
    <n v="11"/>
    <n v="603439"/>
  </r>
  <r>
    <x v="88"/>
    <x v="0"/>
    <x v="5"/>
    <s v="Zara Kapoor"/>
    <n v="5"/>
    <n v="108697"/>
  </r>
  <r>
    <x v="89"/>
    <x v="0"/>
    <x v="1"/>
    <s v="Aarav Rao"/>
    <n v="7"/>
    <n v="387966"/>
  </r>
  <r>
    <x v="90"/>
    <x v="0"/>
    <x v="4"/>
    <s v="Arnav Yadav"/>
    <n v="8"/>
    <n v="97626"/>
  </r>
  <r>
    <x v="91"/>
    <x v="3"/>
    <x v="4"/>
    <s v="Nisha Malhotra"/>
    <n v="5"/>
    <n v="62658"/>
  </r>
  <r>
    <x v="92"/>
    <x v="2"/>
    <x v="4"/>
    <s v="Karan Kapoor"/>
    <n v="2"/>
    <n v="23702"/>
  </r>
  <r>
    <x v="93"/>
    <x v="0"/>
    <x v="0"/>
    <s v="Sanjay Bose"/>
    <n v="2"/>
    <n v="59286"/>
  </r>
  <r>
    <x v="94"/>
    <x v="0"/>
    <x v="5"/>
    <s v="Aarav Rao"/>
    <n v="2"/>
    <n v="43282"/>
  </r>
  <r>
    <x v="95"/>
    <x v="2"/>
    <x v="3"/>
    <s v="Naina Gupta"/>
    <n v="12"/>
    <n v="50864"/>
  </r>
  <r>
    <x v="96"/>
    <x v="1"/>
    <x v="0"/>
    <s v="Priya Singh"/>
    <n v="4"/>
    <n v="120360"/>
  </r>
  <r>
    <x v="97"/>
    <x v="3"/>
    <x v="2"/>
    <s v="Naina Gupta"/>
    <n v="2"/>
    <n v="4912"/>
  </r>
  <r>
    <x v="98"/>
    <x v="3"/>
    <x v="2"/>
    <s v="Zara Kapoor"/>
    <n v="11"/>
    <n v="27120"/>
  </r>
  <r>
    <x v="99"/>
    <x v="1"/>
    <x v="1"/>
    <s v="Aarav Rao"/>
    <n v="4"/>
    <n v="21922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South"/>
    <x v="0"/>
    <s v="Arjun Patel"/>
    <n v="12"/>
    <n v="358885"/>
  </r>
  <r>
    <s v="West"/>
    <x v="1"/>
    <s v="Manish Gupta"/>
    <n v="4"/>
    <n v="219634"/>
  </r>
  <r>
    <s v="West"/>
    <x v="0"/>
    <s v="Aman Verma"/>
    <n v="4"/>
    <n v="119826"/>
  </r>
  <r>
    <s v="North"/>
    <x v="2"/>
    <s v="Neha Gupta"/>
    <n v="7"/>
    <n v="18189"/>
  </r>
  <r>
    <s v="East"/>
    <x v="1"/>
    <s v="Sakshi Joshi"/>
    <n v="5"/>
    <n v="275876"/>
  </r>
  <r>
    <s v="West"/>
    <x v="2"/>
    <s v="Aarav Rao"/>
    <n v="6"/>
    <n v="13226"/>
  </r>
  <r>
    <s v="North"/>
    <x v="0"/>
    <s v="Arjun Patel"/>
    <n v="10"/>
    <n v="300174"/>
  </r>
  <r>
    <s v="North"/>
    <x v="1"/>
    <s v="Bhavna Kapoor"/>
    <n v="7"/>
    <n v="385831"/>
  </r>
  <r>
    <s v="East"/>
    <x v="3"/>
    <s v="Bhavna Kapoor"/>
    <n v="9"/>
    <n v="34947"/>
  </r>
  <r>
    <s v="West"/>
    <x v="4"/>
    <s v="Neha Gupta"/>
    <n v="5"/>
    <n v="58363"/>
  </r>
  <r>
    <s v="West"/>
    <x v="1"/>
    <s v="Aarav Singh"/>
    <n v="9"/>
    <n v="494614"/>
  </r>
  <r>
    <s v="East"/>
    <x v="3"/>
    <s v="Kabir Mehta"/>
    <n v="11"/>
    <n v="44704"/>
  </r>
  <r>
    <s v="East"/>
    <x v="2"/>
    <s v="Ananya Roy"/>
    <n v="12"/>
    <n v="30460"/>
  </r>
  <r>
    <s v="East"/>
    <x v="2"/>
    <s v="Nisha Malhotra"/>
    <n v="6"/>
    <n v="16296"/>
  </r>
  <r>
    <s v="East"/>
    <x v="4"/>
    <s v="Zara Khan"/>
    <n v="4"/>
    <n v="49444"/>
  </r>
  <r>
    <s v="West"/>
    <x v="2"/>
    <s v="Karan Kapoor"/>
    <n v="3"/>
    <n v="10162"/>
  </r>
  <r>
    <s v="East"/>
    <x v="3"/>
    <s v="Aarav Rao"/>
    <n v="1"/>
    <n v="4489"/>
  </r>
  <r>
    <s v="East"/>
    <x v="5"/>
    <s v="Nisha Malhotra"/>
    <n v="10"/>
    <n v="222969"/>
  </r>
  <r>
    <s v="East"/>
    <x v="3"/>
    <s v="Naina Gupta"/>
    <n v="8"/>
    <n v="31750"/>
  </r>
  <r>
    <s v="West"/>
    <x v="2"/>
    <s v="Arjun Patel"/>
    <n v="11"/>
    <n v="26194"/>
  </r>
  <r>
    <s v="East"/>
    <x v="4"/>
    <s v="Sanjay Bose"/>
    <n v="11"/>
    <n v="132745"/>
  </r>
  <r>
    <s v="North"/>
    <x v="5"/>
    <s v="Sanjay Bose"/>
    <n v="5"/>
    <n v="109840"/>
  </r>
  <r>
    <s v="South"/>
    <x v="5"/>
    <s v="Rahul Sharma"/>
    <n v="1"/>
    <n v="22005"/>
  </r>
  <r>
    <s v="West"/>
    <x v="4"/>
    <s v="Sakshi Joshi"/>
    <n v="2"/>
    <n v="25730"/>
  </r>
  <r>
    <s v="West"/>
    <x v="2"/>
    <s v="Zara Kapoor"/>
    <n v="4"/>
    <n v="11145"/>
  </r>
  <r>
    <s v="West"/>
    <x v="3"/>
    <s v="Rohan Das"/>
    <n v="3"/>
    <n v="10045"/>
  </r>
  <r>
    <s v="North"/>
    <x v="3"/>
    <s v="Rohan Das"/>
    <n v="3"/>
    <n v="14243"/>
  </r>
  <r>
    <s v="West"/>
    <x v="1"/>
    <s v="Aarav Rao"/>
    <n v="4"/>
    <n v="218994"/>
  </r>
  <r>
    <s v="West"/>
    <x v="5"/>
    <s v="Naina Gupta"/>
    <n v="11"/>
    <n v="244351"/>
  </r>
  <r>
    <s v="East"/>
    <x v="3"/>
    <s v="Bhavna Kapoor"/>
    <n v="12"/>
    <n v="50135"/>
  </r>
  <r>
    <s v="West"/>
    <x v="4"/>
    <s v="Naina Gupta"/>
    <n v="3"/>
    <n v="37888"/>
  </r>
  <r>
    <s v="West"/>
    <x v="0"/>
    <s v="Sakshi Joshi"/>
    <n v="4"/>
    <n v="120271"/>
  </r>
  <r>
    <s v="West"/>
    <x v="2"/>
    <s v="Rohan Das"/>
    <n v="5"/>
    <n v="14103"/>
  </r>
  <r>
    <s v="North"/>
    <x v="2"/>
    <s v="Aman Verma"/>
    <n v="4"/>
    <n v="10225"/>
  </r>
  <r>
    <s v="East"/>
    <x v="0"/>
    <s v="Aarav Rao"/>
    <n v="2"/>
    <n v="59133"/>
  </r>
  <r>
    <s v="South"/>
    <x v="5"/>
    <s v="Arnav Yadav"/>
    <n v="12"/>
    <n v="263251"/>
  </r>
  <r>
    <s v="South"/>
    <x v="1"/>
    <s v="Nisha Malhotra"/>
    <n v="7"/>
    <n v="385710"/>
  </r>
  <r>
    <s v="West"/>
    <x v="3"/>
    <s v="Priya Singh"/>
    <n v="4"/>
    <n v="17441"/>
  </r>
  <r>
    <s v="West"/>
    <x v="4"/>
    <s v="Manish Mishra"/>
    <n v="1"/>
    <n v="14716"/>
  </r>
  <r>
    <s v="West"/>
    <x v="3"/>
    <s v="Rahul Sharma"/>
    <n v="6"/>
    <n v="24446"/>
  </r>
  <r>
    <s v="West"/>
    <x v="3"/>
    <s v="Aarav Rao"/>
    <n v="12"/>
    <n v="50473"/>
  </r>
  <r>
    <s v="South"/>
    <x v="3"/>
    <s v="Rohan Das"/>
    <n v="5"/>
    <n v="21570"/>
  </r>
  <r>
    <s v="West"/>
    <x v="1"/>
    <s v="Arnav Yadav"/>
    <n v="6"/>
    <n v="331312"/>
  </r>
  <r>
    <s v="South"/>
    <x v="3"/>
    <s v="Zara Khan"/>
    <n v="10"/>
    <n v="42375"/>
  </r>
  <r>
    <s v="North"/>
    <x v="3"/>
    <s v="Zara Kapoor"/>
    <n v="10"/>
    <n v="38222"/>
  </r>
  <r>
    <s v="North"/>
    <x v="2"/>
    <s v="Nisha Malhotra"/>
    <n v="3"/>
    <n v="9282"/>
  </r>
  <r>
    <s v="South"/>
    <x v="1"/>
    <s v="Simran Kaur"/>
    <n v="7"/>
    <n v="385681"/>
  </r>
  <r>
    <s v="South"/>
    <x v="3"/>
    <s v="Ritu Iyer"/>
    <n v="6"/>
    <n v="25105"/>
  </r>
  <r>
    <s v="East"/>
    <x v="3"/>
    <s v="Simran Kaur"/>
    <n v="2"/>
    <n v="9852"/>
  </r>
  <r>
    <s v="North"/>
    <x v="2"/>
    <s v="Aarav Rao"/>
    <n v="1"/>
    <n v="3366"/>
  </r>
  <r>
    <s v="South"/>
    <x v="2"/>
    <s v="Kabir Mehta"/>
    <n v="11"/>
    <n v="25829"/>
  </r>
  <r>
    <s v="North"/>
    <x v="5"/>
    <s v="Neha Gupta"/>
    <n v="1"/>
    <n v="21248"/>
  </r>
  <r>
    <s v="South"/>
    <x v="5"/>
    <s v="Manish Gupta"/>
    <n v="11"/>
    <n v="240937"/>
  </r>
  <r>
    <s v="South"/>
    <x v="3"/>
    <s v="Manish Mishra"/>
    <n v="5"/>
    <n v="21021"/>
  </r>
  <r>
    <s v="South"/>
    <x v="4"/>
    <s v="Bhavna Kapoor"/>
    <n v="12"/>
    <n v="142938"/>
  </r>
  <r>
    <s v="South"/>
    <x v="0"/>
    <s v="Ananya Roy"/>
    <n v="10"/>
    <n v="298210"/>
  </r>
  <r>
    <s v="East"/>
    <x v="4"/>
    <s v="Sanjay Bose"/>
    <n v="7"/>
    <n v="85249"/>
  </r>
  <r>
    <s v="South"/>
    <x v="1"/>
    <s v="Zara Kapoor"/>
    <n v="12"/>
    <n v="659989"/>
  </r>
  <r>
    <s v="North"/>
    <x v="2"/>
    <s v="Sakshi Joshi"/>
    <n v="5"/>
    <n v="15418"/>
  </r>
  <r>
    <s v="North"/>
    <x v="4"/>
    <s v="Priya Singh"/>
    <n v="6"/>
    <n v="74364"/>
  </r>
  <r>
    <s v="West"/>
    <x v="2"/>
    <s v="Ira Malhotra"/>
    <n v="2"/>
    <n v="7144"/>
  </r>
  <r>
    <s v="East"/>
    <x v="1"/>
    <s v="Nisha Malhotra"/>
    <n v="8"/>
    <n v="438864"/>
  </r>
  <r>
    <s v="West"/>
    <x v="0"/>
    <s v="Meera Joshi"/>
    <n v="8"/>
    <n v="239253"/>
  </r>
  <r>
    <s v="West"/>
    <x v="5"/>
    <s v="Karan Kapoor"/>
    <n v="9"/>
    <n v="198212"/>
  </r>
  <r>
    <s v="West"/>
    <x v="3"/>
    <s v="Nisha Malhotra"/>
    <n v="12"/>
    <n v="50853"/>
  </r>
  <r>
    <s v="East"/>
    <x v="0"/>
    <s v="Rohan Das"/>
    <n v="2"/>
    <n v="60284"/>
  </r>
  <r>
    <s v="West"/>
    <x v="5"/>
    <s v="Sakshi Joshi"/>
    <n v="8"/>
    <n v="178668"/>
  </r>
  <r>
    <s v="West"/>
    <x v="0"/>
    <s v="Rahul Sharma"/>
    <n v="8"/>
    <n v="240662"/>
  </r>
  <r>
    <s v="South"/>
    <x v="3"/>
    <s v="Neha Gupta"/>
    <n v="6"/>
    <n v="24116"/>
  </r>
  <r>
    <s v="East"/>
    <x v="0"/>
    <s v="Bhavna Kapoor"/>
    <n v="12"/>
    <n v="360263"/>
  </r>
  <r>
    <s v="North"/>
    <x v="4"/>
    <s v="Neha Gupta"/>
    <n v="2"/>
    <n v="23977"/>
  </r>
  <r>
    <s v="West"/>
    <x v="3"/>
    <s v="Aarav Rao"/>
    <n v="4"/>
    <n v="17900"/>
  </r>
  <r>
    <s v="West"/>
    <x v="3"/>
    <s v="Rahul Sharma"/>
    <n v="2"/>
    <n v="8410"/>
  </r>
  <r>
    <s v="South"/>
    <x v="3"/>
    <s v="Manish Mishra"/>
    <n v="4"/>
    <n v="16508"/>
  </r>
  <r>
    <s v="East"/>
    <x v="3"/>
    <s v="Aarav Rao"/>
    <n v="9"/>
    <n v="36816"/>
  </r>
  <r>
    <s v="West"/>
    <x v="2"/>
    <s v="Aarav Rao"/>
    <n v="6"/>
    <n v="15882"/>
  </r>
  <r>
    <s v="West"/>
    <x v="0"/>
    <s v="Aman Verma"/>
    <n v="5"/>
    <n v="149888"/>
  </r>
  <r>
    <s v="North"/>
    <x v="2"/>
    <s v="Neha Gupta"/>
    <n v="6"/>
    <n v="13979"/>
  </r>
  <r>
    <s v="South"/>
    <x v="5"/>
    <s v="Neha Gupta"/>
    <n v="12"/>
    <n v="265966"/>
  </r>
  <r>
    <s v="East"/>
    <x v="2"/>
    <s v="Zara Kapoor"/>
    <n v="9"/>
    <n v="25388"/>
  </r>
  <r>
    <s v="East"/>
    <x v="1"/>
    <s v="Neha Gupta"/>
    <n v="5"/>
    <n v="274863"/>
  </r>
  <r>
    <s v="East"/>
    <x v="5"/>
    <s v="Aman Verma"/>
    <n v="1"/>
    <n v="24375"/>
  </r>
  <r>
    <s v="South"/>
    <x v="0"/>
    <s v="Priya Singh"/>
    <n v="1"/>
    <n v="32533"/>
  </r>
  <r>
    <s v="East"/>
    <x v="2"/>
    <s v="Zara Khan"/>
    <n v="11"/>
    <n v="29521"/>
  </r>
  <r>
    <s v="North"/>
    <x v="1"/>
    <s v="Zara Kapoor"/>
    <n v="5"/>
    <n v="276845"/>
  </r>
  <r>
    <s v="West"/>
    <x v="3"/>
    <s v="Ritu Iyer"/>
    <n v="3"/>
    <n v="10420"/>
  </r>
  <r>
    <s v="East"/>
    <x v="3"/>
    <s v="Ananya Roy"/>
    <n v="2"/>
    <n v="9282"/>
  </r>
  <r>
    <s v="West"/>
    <x v="1"/>
    <s v="Zara Kapoor"/>
    <n v="11"/>
    <n v="603439"/>
  </r>
  <r>
    <s v="South"/>
    <x v="5"/>
    <s v="Zara Kapoor"/>
    <n v="5"/>
    <n v="108697"/>
  </r>
  <r>
    <s v="South"/>
    <x v="1"/>
    <s v="Aarav Rao"/>
    <n v="7"/>
    <n v="387966"/>
  </r>
  <r>
    <s v="South"/>
    <x v="4"/>
    <s v="Arnav Yadav"/>
    <n v="8"/>
    <n v="97626"/>
  </r>
  <r>
    <s v="East"/>
    <x v="4"/>
    <s v="Nisha Malhotra"/>
    <n v="5"/>
    <n v="62658"/>
  </r>
  <r>
    <s v="North"/>
    <x v="4"/>
    <s v="Karan Kapoor"/>
    <n v="2"/>
    <n v="23702"/>
  </r>
  <r>
    <s v="South"/>
    <x v="0"/>
    <s v="Sanjay Bose"/>
    <n v="2"/>
    <n v="59286"/>
  </r>
  <r>
    <s v="South"/>
    <x v="5"/>
    <s v="Aarav Rao"/>
    <n v="2"/>
    <n v="43282"/>
  </r>
  <r>
    <s v="North"/>
    <x v="3"/>
    <s v="Naina Gupta"/>
    <n v="12"/>
    <n v="50864"/>
  </r>
  <r>
    <s v="West"/>
    <x v="0"/>
    <s v="Priya Singh"/>
    <n v="4"/>
    <n v="120360"/>
  </r>
  <r>
    <s v="East"/>
    <x v="2"/>
    <s v="Naina Gupta"/>
    <n v="2"/>
    <n v="4912"/>
  </r>
  <r>
    <s v="East"/>
    <x v="2"/>
    <s v="Zara Kapoor"/>
    <n v="11"/>
    <n v="27120"/>
  </r>
  <r>
    <s v="West"/>
    <x v="1"/>
    <s v="Aarav Rao"/>
    <n v="4"/>
    <n v="2192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99553D-1CF3-44FC-BCCF-ECF9E6C79D3D}"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34:H160"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axis="axisRow" showAll="0">
      <items count="26">
        <item x="5"/>
        <item x="7"/>
        <item x="2"/>
        <item x="9"/>
        <item x="0"/>
        <item x="18"/>
        <item x="6"/>
        <item x="23"/>
        <item x="8"/>
        <item x="12"/>
        <item x="1"/>
        <item x="20"/>
        <item x="24"/>
        <item x="13"/>
        <item x="3"/>
        <item x="10"/>
        <item x="19"/>
        <item x="15"/>
        <item x="22"/>
        <item x="17"/>
        <item x="4"/>
        <item x="14"/>
        <item x="21"/>
        <item x="16"/>
        <item x="1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47C934-E362-4F4A-8D5A-56BBAF67E62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31:E138"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x="3"/>
        <item x="2"/>
        <item x="1"/>
        <item x="5"/>
        <item x="4"/>
        <item x="0"/>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Units Sold"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41E846-FC7E-465E-B621-4E5068581E36}"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0:H131" firstHeaderRow="1" firstDataRow="1" firstDataCol="1"/>
  <pivotFields count="8">
    <pivotField axis="axisRow"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0"/>
  </rowFields>
  <rowItems count="11">
    <i>
      <x v="1"/>
    </i>
    <i>
      <x v="2"/>
    </i>
    <i>
      <x v="3"/>
    </i>
    <i>
      <x v="4"/>
    </i>
    <i>
      <x v="5"/>
    </i>
    <i>
      <x v="6"/>
    </i>
    <i>
      <x v="7"/>
    </i>
    <i>
      <x v="8"/>
    </i>
    <i>
      <x v="9"/>
    </i>
    <i>
      <x v="10"/>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6B5349-52ED-4E86-B5B8-8E375AFDED59}"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0:E127"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x="3"/>
        <item x="2"/>
        <item x="1"/>
        <item x="5"/>
        <item x="4"/>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23F037-8CC0-4DCE-968C-B814540CAE16}"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0:B125"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x="3"/>
        <item x="2"/>
        <item x="0"/>
        <item x="1"/>
        <item t="default"/>
      </items>
    </pivotField>
    <pivotField showAll="0">
      <items count="7">
        <item x="3"/>
        <item x="2"/>
        <item x="1"/>
        <item x="5"/>
        <item x="4"/>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A38297-989E-466B-92BA-1F19972A1D8D}" name="PivotTable9"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54:F159" firstHeaderRow="1" firstDataRow="1" firstDataCol="1"/>
  <pivotFields count="6">
    <pivotField numFmtId="164" showAll="0"/>
    <pivotField axis="axisRow" showAll="0" sortType="a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1"/>
  </rowFields>
  <rowItems count="5">
    <i>
      <x v="1"/>
    </i>
    <i>
      <x/>
    </i>
    <i>
      <x v="2"/>
    </i>
    <i>
      <x v="3"/>
    </i>
    <i t="grand">
      <x/>
    </i>
  </rowItems>
  <colItems count="1">
    <i/>
  </colItems>
  <dataFields count="1">
    <dataField name="Sum of Revenue" fld="5"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11EE88-857C-4AFF-9756-2A3F571EE968}"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2:B143" firstHeaderRow="1" firstDataRow="1" firstDataCol="1"/>
  <pivotFields count="8">
    <pivotField axis="axisRow"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showAll="0"/>
    <pivotField showAll="0"/>
    <pivotField showAll="0"/>
    <pivotField dataField="1"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7"/>
    <field x="0"/>
  </rowFields>
  <rowItems count="11">
    <i>
      <x v="1"/>
    </i>
    <i>
      <x v="2"/>
    </i>
    <i>
      <x v="3"/>
    </i>
    <i>
      <x v="4"/>
    </i>
    <i>
      <x v="5"/>
    </i>
    <i>
      <x v="6"/>
    </i>
    <i>
      <x v="7"/>
    </i>
    <i>
      <x v="8"/>
    </i>
    <i>
      <x v="9"/>
    </i>
    <i>
      <x v="10"/>
    </i>
    <i t="grand">
      <x/>
    </i>
  </rowItems>
  <colItems count="1">
    <i/>
  </colItems>
  <dataFields count="1">
    <dataField name="Sum of Revenue" fld="5"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C08A6C-BB25-4DED-B0D0-DA1E760AD9D9}" name="PivotTable7"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120:G127"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x="3"/>
        <item x="2"/>
        <item x="1"/>
        <item x="5"/>
        <item x="4"/>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Revenue" fld="5"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1912F0A-FCAA-498B-ACA7-53CCED87C4E7}" name="PivotTable6"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20:B125" firstHeaderRow="1" firstDataRow="1" firstDataCol="1"/>
  <pivotFields count="6">
    <pivotField numFmtId="164" showAll="0"/>
    <pivotField axis="axisRow" showAll="0">
      <items count="5">
        <item x="3"/>
        <item x="2"/>
        <item x="0"/>
        <item x="1"/>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Sum of Revenue" fld="5" baseField="0"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55C6363-B73E-4DCE-ABA0-E4AEC1736087}" name="PivotTable2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81:N192"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2"/>
        <item x="0"/>
        <item x="1"/>
        <item t="default"/>
      </items>
    </pivotField>
    <pivotField showAll="0"/>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7"/>
  </rowFields>
  <rowItems count="11">
    <i>
      <x v="1"/>
    </i>
    <i>
      <x v="2"/>
    </i>
    <i>
      <x v="3"/>
    </i>
    <i>
      <x v="4"/>
    </i>
    <i>
      <x v="5"/>
    </i>
    <i>
      <x v="6"/>
    </i>
    <i>
      <x v="7"/>
    </i>
    <i>
      <x v="8"/>
    </i>
    <i>
      <x v="9"/>
    </i>
    <i>
      <x v="10"/>
    </i>
    <i t="grand">
      <x/>
    </i>
  </rowItems>
  <colItems count="1">
    <i/>
  </colItems>
  <dataFields count="1">
    <dataField name="Sum of Revenue" fld="5" baseField="0" baseItem="0"/>
  </dataFields>
  <formats count="6">
    <format dxfId="85">
      <pivotArea type="all" dataOnly="0" outline="0" fieldPosition="0"/>
    </format>
    <format dxfId="84">
      <pivotArea outline="0" collapsedLevelsAreSubtotals="1" fieldPosition="0"/>
    </format>
    <format dxfId="83">
      <pivotArea field="7" type="button" dataOnly="0" labelOnly="1" outline="0" axis="axisRow" fieldPosition="0"/>
    </format>
    <format dxfId="82">
      <pivotArea dataOnly="0" labelOnly="1" fieldPosition="0">
        <references count="1">
          <reference field="7" count="10">
            <x v="1"/>
            <x v="2"/>
            <x v="3"/>
            <x v="4"/>
            <x v="5"/>
            <x v="6"/>
            <x v="7"/>
            <x v="8"/>
            <x v="9"/>
            <x v="10"/>
          </reference>
        </references>
      </pivotArea>
    </format>
    <format dxfId="81">
      <pivotArea dataOnly="0" labelOnly="1" grandRow="1" outline="0" fieldPosition="0"/>
    </format>
    <format dxfId="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27C4D02-AFA8-485C-923E-3B48B39CB6D1}" name="PivotTable26"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81:K188" firstHeaderRow="1" firstDataRow="1" firstDataCol="1"/>
  <pivotFields count="5">
    <pivotField showAll="0"/>
    <pivotField axis="axisRow" showAll="0">
      <items count="7">
        <item x="3"/>
        <item x="2"/>
        <item x="1"/>
        <item x="5"/>
        <item x="4"/>
        <item x="0"/>
        <item t="default"/>
      </items>
    </pivotField>
    <pivotField showAll="0"/>
    <pivotField showAll="0"/>
    <pivotField dataField="1" showAll="0"/>
  </pivotFields>
  <rowFields count="1">
    <field x="1"/>
  </rowFields>
  <rowItems count="7">
    <i>
      <x/>
    </i>
    <i>
      <x v="1"/>
    </i>
    <i>
      <x v="2"/>
    </i>
    <i>
      <x v="3"/>
    </i>
    <i>
      <x v="4"/>
    </i>
    <i>
      <x v="5"/>
    </i>
    <i t="grand">
      <x/>
    </i>
  </rowItems>
  <colItems count="1">
    <i/>
  </colItems>
  <dataFields count="1">
    <dataField name="Sum of Revenue" fld="4" baseField="0" baseItem="0"/>
  </dataFields>
  <formats count="6">
    <format dxfId="78">
      <pivotArea type="all" dataOnly="0" outline="0" fieldPosition="0"/>
    </format>
    <format dxfId="77">
      <pivotArea outline="0" collapsedLevelsAreSubtotals="1" fieldPosition="0"/>
    </format>
    <format dxfId="76">
      <pivotArea field="1" type="button" dataOnly="0" labelOnly="1" outline="0" axis="axisRow" fieldPosition="0"/>
    </format>
    <format dxfId="75">
      <pivotArea dataOnly="0" labelOnly="1" fieldPosition="0">
        <references count="1">
          <reference field="1" count="0"/>
        </references>
      </pivotArea>
    </format>
    <format dxfId="74">
      <pivotArea dataOnly="0" labelOnly="1" grandRow="1" outline="0" fieldPosition="0"/>
    </format>
    <format dxfId="7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0CC405-154E-4E3F-A017-AE9D469573B5}" name="PivotTable25"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81:H188"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x="3"/>
        <item x="2"/>
        <item x="0"/>
        <item x="1"/>
        <item t="default"/>
      </items>
    </pivotField>
    <pivotField axis="axisRow" showAll="0">
      <items count="7">
        <item x="3"/>
        <item x="2"/>
        <item x="1"/>
        <item x="5"/>
        <item x="4"/>
        <item x="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7">
    <i>
      <x/>
    </i>
    <i>
      <x v="1"/>
    </i>
    <i>
      <x v="2"/>
    </i>
    <i>
      <x v="3"/>
    </i>
    <i>
      <x v="4"/>
    </i>
    <i>
      <x v="5"/>
    </i>
    <i t="grand">
      <x/>
    </i>
  </rowItems>
  <colItems count="1">
    <i/>
  </colItems>
  <dataFields count="1">
    <dataField name="Sum of Revenue" fld="5" baseField="0" baseItem="0"/>
  </dataFields>
  <formats count="6">
    <format dxfId="71">
      <pivotArea type="all" dataOnly="0" outline="0" fieldPosition="0"/>
    </format>
    <format dxfId="70">
      <pivotArea outline="0" collapsedLevelsAreSubtotals="1" fieldPosition="0"/>
    </format>
    <format dxfId="69">
      <pivotArea field="2" type="button" dataOnly="0" labelOnly="1" outline="0" axis="axisRow" fieldPosition="0"/>
    </format>
    <format dxfId="68">
      <pivotArea dataOnly="0" labelOnly="1" fieldPosition="0">
        <references count="1">
          <reference field="2" count="0"/>
        </references>
      </pivotArea>
    </format>
    <format dxfId="67">
      <pivotArea dataOnly="0" labelOnly="1" grandRow="1" outline="0"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625AF4-0ACD-45C7-9F32-E60B4F978582}" name="PivotTable2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0:B184" firstHeaderRow="1" firstDataRow="1" firstDataCol="1"/>
  <pivotFields count="8">
    <pivotField axis="axisRow"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h="1" x="3"/>
        <item h="1" x="2"/>
        <item x="0"/>
        <item h="1" x="1"/>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h="1" sd="0" x="2"/>
        <item sd="0" x="3"/>
        <item sd="0" x="4"/>
        <item h="1" sd="0" x="5"/>
        <item h="1" sd="0" x="6"/>
        <item h="1" sd="0" x="7"/>
        <item h="1" sd="0" x="8"/>
        <item h="1" sd="0" x="9"/>
        <item h="1" sd="0" x="10"/>
        <item h="1" sd="0" x="11"/>
        <item h="1" sd="0" x="12"/>
        <item h="1" sd="0" x="13"/>
        <item t="default"/>
      </items>
    </pivotField>
  </pivotFields>
  <rowFields count="2">
    <field x="7"/>
    <field x="0"/>
  </rowFields>
  <rowItems count="4">
    <i>
      <x v="1"/>
    </i>
    <i>
      <x v="3"/>
    </i>
    <i>
      <x v="4"/>
    </i>
    <i t="grand">
      <x/>
    </i>
  </rowItems>
  <colItems count="1">
    <i/>
  </colItems>
  <dataFields count="1">
    <dataField name="Sum of Revenue" fld="5" baseField="0" baseItem="0"/>
  </dataFields>
  <formats count="12">
    <format dxfId="104">
      <pivotArea type="all" dataOnly="0" outline="0" fieldPosition="0"/>
    </format>
    <format dxfId="105">
      <pivotArea outline="0" collapsedLevelsAreSubtotals="1" fieldPosition="0"/>
    </format>
    <format dxfId="106">
      <pivotArea field="7" type="button" dataOnly="0" labelOnly="1" outline="0" axis="axisRow" fieldPosition="0"/>
    </format>
    <format dxfId="107">
      <pivotArea dataOnly="0" labelOnly="1" fieldPosition="0">
        <references count="1">
          <reference field="7" count="9">
            <x v="1"/>
            <x v="3"/>
            <x v="4"/>
            <x v="5"/>
            <x v="6"/>
            <x v="7"/>
            <x v="8"/>
            <x v="9"/>
            <x v="10"/>
          </reference>
        </references>
      </pivotArea>
    </format>
    <format dxfId="108">
      <pivotArea dataOnly="0" labelOnly="1" grandRow="1" outline="0" fieldPosition="0"/>
    </format>
    <format dxfId="109">
      <pivotArea dataOnly="0" labelOnly="1" outline="0" axis="axisValues" fieldPosition="0"/>
    </format>
    <format dxfId="103">
      <pivotArea type="all" dataOnly="0" outline="0" fieldPosition="0"/>
    </format>
    <format dxfId="102">
      <pivotArea outline="0" collapsedLevelsAreSubtotals="1" fieldPosition="0"/>
    </format>
    <format dxfId="101">
      <pivotArea field="7" type="button" dataOnly="0" labelOnly="1" outline="0" axis="axisRow" fieldPosition="0"/>
    </format>
    <format dxfId="100">
      <pivotArea dataOnly="0" labelOnly="1" fieldPosition="0">
        <references count="1">
          <reference field="7" count="0"/>
        </references>
      </pivotArea>
    </format>
    <format dxfId="99">
      <pivotArea dataOnly="0" labelOnly="1" grandRow="1" outline="0" fieldPosition="0"/>
    </format>
    <format dxfId="9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3DD854-0CEE-400A-9188-F2682247E6B6}" name="PivotTable20"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144:M154" firstHeaderRow="1" firstDataRow="1" firstDataCol="1"/>
  <pivotFields count="8">
    <pivotField axis="axisRow"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h="1" x="3"/>
        <item h="1" x="2"/>
        <item x="0"/>
        <item h="1" x="1"/>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0"/>
  </rowFields>
  <rowItems count="10">
    <i>
      <x v="1"/>
    </i>
    <i>
      <x v="3"/>
    </i>
    <i>
      <x v="4"/>
    </i>
    <i>
      <x v="5"/>
    </i>
    <i>
      <x v="6"/>
    </i>
    <i>
      <x v="7"/>
    </i>
    <i>
      <x v="8"/>
    </i>
    <i>
      <x v="9"/>
    </i>
    <i>
      <x v="10"/>
    </i>
    <i t="grand">
      <x/>
    </i>
  </rowItems>
  <colItems count="1">
    <i/>
  </colItems>
  <dataFields count="1">
    <dataField name="Sum of Revenue" fld="5" baseField="0" baseItem="0"/>
  </dataFields>
  <formats count="6">
    <format dxfId="127">
      <pivotArea type="all" dataOnly="0" outline="0" fieldPosition="0"/>
    </format>
    <format dxfId="126">
      <pivotArea outline="0" collapsedLevelsAreSubtotals="1" fieldPosition="0"/>
    </format>
    <format dxfId="125">
      <pivotArea field="7" type="button" dataOnly="0" labelOnly="1" outline="0" axis="axisRow" fieldPosition="0"/>
    </format>
    <format dxfId="124">
      <pivotArea dataOnly="0" labelOnly="1" fieldPosition="0">
        <references count="1">
          <reference field="7" count="9">
            <x v="1"/>
            <x v="3"/>
            <x v="4"/>
            <x v="5"/>
            <x v="6"/>
            <x v="7"/>
            <x v="8"/>
            <x v="9"/>
            <x v="10"/>
          </reference>
        </references>
      </pivotArea>
    </format>
    <format dxfId="123">
      <pivotArea dataOnly="0" labelOnly="1" grandRow="1" outline="0" fieldPosition="0"/>
    </format>
    <format dxfId="1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20F36B0-8A06-4D50-B70D-A0EF5A846924}" name="PivotTable19"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144:J151"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items count="5">
        <item h="1" x="3"/>
        <item h="1" x="2"/>
        <item x="0"/>
        <item h="1" x="1"/>
        <item t="default"/>
      </items>
    </pivotField>
    <pivotField axis="axisRow" showAll="0">
      <items count="7">
        <item x="3"/>
        <item x="2"/>
        <item x="1"/>
        <item x="5"/>
        <item x="4"/>
        <item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Revenue" fld="5" baseField="0" baseItem="0"/>
  </dataFields>
  <formats count="6">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grandRow="1" outline="0" fieldPosition="0"/>
    </format>
    <format dxfId="11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8107D37-3FFF-4DFA-AF55-FE5871F27CD4}" name="PivotTable18"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144:F146"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h="1" x="3"/>
        <item h="1" x="2"/>
        <item x="0"/>
        <item h="1"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2"/>
    </i>
    <i t="grand">
      <x/>
    </i>
  </rowItems>
  <colItems count="1">
    <i/>
  </colItems>
  <dataFields count="1">
    <dataField name="Sum of Revenue" fld="5" baseField="0" baseItem="0"/>
  </dataFields>
  <formats count="6">
    <format dxfId="115">
      <pivotArea type="all" dataOnly="0" outline="0" fieldPosition="0"/>
    </format>
    <format dxfId="114">
      <pivotArea outline="0" collapsedLevelsAreSubtotals="1" fieldPosition="0"/>
    </format>
    <format dxfId="113">
      <pivotArea field="1" type="button" dataOnly="0" labelOnly="1" outline="0" axis="axisRow" fieldPosition="0"/>
    </format>
    <format dxfId="112">
      <pivotArea dataOnly="0" labelOnly="1" fieldPosition="0">
        <references count="1">
          <reference field="1" count="0"/>
        </references>
      </pivotArea>
    </format>
    <format dxfId="111">
      <pivotArea dataOnly="0" labelOnly="1" grandRow="1" outline="0" fieldPosition="0"/>
    </format>
    <format dxfId="1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B02A50C-18C5-4602-B718-4518F09E7001}" name="PivotTable1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8:B151"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h="1" x="3"/>
        <item h="1" x="2"/>
        <item x="0"/>
        <item h="1" x="1"/>
        <item t="default"/>
      </items>
    </pivotField>
    <pivotField axis="axisRow" showAll="0">
      <items count="7">
        <item h="1" x="3"/>
        <item h="1" x="2"/>
        <item x="1"/>
        <item h="1" x="5"/>
        <item h="1" x="4"/>
        <item h="1" x="0"/>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2"/>
    <field x="1"/>
  </rowFields>
  <rowItems count="3">
    <i>
      <x v="2"/>
    </i>
    <i r="1">
      <x v="2"/>
    </i>
    <i t="grand">
      <x/>
    </i>
  </rowItems>
  <colItems count="1">
    <i/>
  </colItems>
  <dataFields count="1">
    <dataField name="Sum of Revenue" fld="5" baseField="0" baseItem="0"/>
  </dataFields>
  <formats count="7">
    <format dxfId="134">
      <pivotArea type="all" dataOnly="0" outline="0" fieldPosition="0"/>
    </format>
    <format dxfId="133">
      <pivotArea outline="0" collapsedLevelsAreSubtotals="1" fieldPosition="0"/>
    </format>
    <format dxfId="132">
      <pivotArea field="2" type="button" dataOnly="0" labelOnly="1" outline="0" axis="axisRow" fieldPosition="0"/>
    </format>
    <format dxfId="131">
      <pivotArea dataOnly="0" labelOnly="1" fieldPosition="0">
        <references count="1">
          <reference field="2" count="0"/>
        </references>
      </pivotArea>
    </format>
    <format dxfId="130">
      <pivotArea dataOnly="0" labelOnly="1" grandRow="1" outline="0" fieldPosition="0"/>
    </format>
    <format dxfId="129">
      <pivotArea dataOnly="0" labelOnly="1" fieldPosition="0">
        <references count="2">
          <reference field="1" count="0"/>
          <reference field="2" count="0" selected="0"/>
        </references>
      </pivotArea>
    </format>
    <format dxfId="1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6A7C4A4-92ED-4028-88C3-D7D13BBB67AC}" name="PivotTable16"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121:F123"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h="1" x="3"/>
        <item x="2"/>
        <item h="1" x="0"/>
        <item h="1"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1"/>
    </i>
    <i t="grand">
      <x/>
    </i>
  </rowItems>
  <colItems count="1">
    <i/>
  </colItems>
  <dataFields count="1">
    <dataField name="Sum of Revenue" fld="5" baseField="0" baseItem="0"/>
  </dataFields>
  <formats count="6">
    <format dxfId="86">
      <pivotArea type="all" dataOnly="0" outline="0" fieldPosition="0"/>
    </format>
    <format dxfId="87">
      <pivotArea outline="0" collapsedLevelsAreSubtotals="1" fieldPosition="0"/>
    </format>
    <format dxfId="88">
      <pivotArea field="1" type="button" dataOnly="0" labelOnly="1" outline="0" axis="axisRow" fieldPosition="0"/>
    </format>
    <format dxfId="89">
      <pivotArea dataOnly="0" labelOnly="1" fieldPosition="0">
        <references count="1">
          <reference field="1" count="0"/>
        </references>
      </pivotArea>
    </format>
    <format dxfId="90">
      <pivotArea dataOnly="0" labelOnly="1" grandRow="1" outline="0" fieldPosition="0"/>
    </format>
    <format dxfId="9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8FBF529-CC8F-4555-A9E9-AC03C0C0CB12}" name="PivotTable1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122:D129"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x="3"/>
        <item x="2"/>
        <item x="1"/>
        <item x="5"/>
        <item x="4"/>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Revenue" fld="5" baseField="0" baseItem="0"/>
  </dataFields>
  <formats count="6">
    <format dxfId="140">
      <pivotArea type="all" dataOnly="0" outline="0" fieldPosition="0"/>
    </format>
    <format dxfId="139">
      <pivotArea outline="0" collapsedLevelsAreSubtotals="1" fieldPosition="0"/>
    </format>
    <format dxfId="138">
      <pivotArea field="2" type="button" dataOnly="0" labelOnly="1" outline="0" axis="axisRow" fieldPosition="0"/>
    </format>
    <format dxfId="137">
      <pivotArea dataOnly="0" labelOnly="1" fieldPosition="0">
        <references count="1">
          <reference field="2" count="0"/>
        </references>
      </pivotArea>
    </format>
    <format dxfId="136">
      <pivotArea dataOnly="0" labelOnly="1" grandRow="1" outline="0" fieldPosition="0"/>
    </format>
    <format dxfId="13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3D85EA9-FA7C-4078-8898-4B8CE3544F99}" name="PivotTable13" cacheId="4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1:B123"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axis="axisRow" showAll="0">
      <items count="5">
        <item h="1" x="3"/>
        <item x="2"/>
        <item h="1" x="0"/>
        <item h="1" x="1"/>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
    <i>
      <x v="1"/>
    </i>
    <i t="grand">
      <x/>
    </i>
  </rowItems>
  <colItems count="1">
    <i/>
  </colItems>
  <dataFields count="1">
    <dataField name="Sum of Revenue" fld="5" baseField="0" baseItem="0"/>
  </dataFields>
  <formats count="6">
    <format dxfId="92">
      <pivotArea type="all" dataOnly="0" outline="0" fieldPosition="0"/>
    </format>
    <format dxfId="93">
      <pivotArea outline="0" collapsedLevelsAreSubtotals="1" fieldPosition="0"/>
    </format>
    <format dxfId="94">
      <pivotArea field="1" type="button" dataOnly="0" labelOnly="1" outline="0" axis="axisRow" fieldPosition="0"/>
    </format>
    <format dxfId="95">
      <pivotArea dataOnly="0" labelOnly="1" fieldPosition="0">
        <references count="1">
          <reference field="1" count="0"/>
        </references>
      </pivotArea>
    </format>
    <format dxfId="96">
      <pivotArea dataOnly="0" labelOnly="1" grandRow="1" outline="0" fieldPosition="0"/>
    </format>
    <format dxfId="9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C01BA6F-5420-4271-80CF-34F4CDC7353E}" name="PivotTable3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P114:Q116"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h="1" x="3"/>
        <item h="1" x="2"/>
        <item x="1"/>
        <item h="1" x="5"/>
        <item h="1" x="4"/>
        <item h="1"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2">
    <i>
      <x v="2"/>
    </i>
    <i t="grand">
      <x/>
    </i>
  </rowItems>
  <colItems count="1">
    <i/>
  </colItems>
  <dataFields count="1">
    <dataField name="Sum of Revenue" fld="5" baseField="0" baseItem="0"/>
  </dataFields>
  <formats count="6">
    <format dxfId="57">
      <pivotArea type="all" dataOnly="0" outline="0" fieldPosition="0"/>
    </format>
    <format dxfId="58">
      <pivotArea outline="0" collapsedLevelsAreSubtotals="1" fieldPosition="0"/>
    </format>
    <format dxfId="59">
      <pivotArea field="2" type="button" dataOnly="0" labelOnly="1" outline="0" axis="axisRow" fieldPosition="0"/>
    </format>
    <format dxfId="60">
      <pivotArea dataOnly="0" labelOnly="1" fieldPosition="0">
        <references count="1">
          <reference field="2" count="0"/>
        </references>
      </pivotArea>
    </format>
    <format dxfId="61">
      <pivotArea dataOnly="0" labelOnly="1" grandRow="1" outline="0" fieldPosition="0"/>
    </format>
    <format dxfId="62">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DBDD012-8D2E-4AC7-9648-8354D9C3EB65}" name="PivotTable30"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114:N116" firstHeaderRow="1" firstDataRow="1" firstDataCol="1"/>
  <pivotFields count="6">
    <pivotField numFmtId="164" showAll="0"/>
    <pivotField axis="axisRow" showAll="0">
      <items count="5">
        <item h="1" x="3"/>
        <item h="1" x="2"/>
        <item h="1" x="0"/>
        <item x="1"/>
        <item t="default"/>
      </items>
    </pivotField>
    <pivotField showAll="0"/>
    <pivotField showAll="0"/>
    <pivotField showAll="0"/>
    <pivotField dataField="1" showAll="0"/>
  </pivotFields>
  <rowFields count="1">
    <field x="1"/>
  </rowFields>
  <rowItems count="2">
    <i>
      <x v="3"/>
    </i>
    <i t="grand">
      <x/>
    </i>
  </rowItems>
  <colItems count="1">
    <i/>
  </colItems>
  <dataFields count="1">
    <dataField name="Sum of Revenue" fld="5" baseField="0" baseItem="0"/>
  </dataFields>
  <formats count="6">
    <format dxfId="51">
      <pivotArea type="all" dataOnly="0" outline="0" fieldPosition="0"/>
    </format>
    <format dxfId="52">
      <pivotArea outline="0" collapsedLevelsAreSubtotals="1" fieldPosition="0"/>
    </format>
    <format dxfId="53">
      <pivotArea field="1" type="button" dataOnly="0" labelOnly="1" outline="0" axis="axisRow" fieldPosition="0"/>
    </format>
    <format dxfId="54">
      <pivotArea dataOnly="0" labelOnly="1" fieldPosition="0">
        <references count="1">
          <reference field="1" count="0"/>
        </references>
      </pivotArea>
    </format>
    <format dxfId="55">
      <pivotArea dataOnly="0" labelOnly="1" grandRow="1" outline="0" fieldPosition="0"/>
    </format>
    <format dxfId="5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EA91997F-2A4E-4D1A-9355-CAB93BCD8718}" name="PivotTable29"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118:J125" firstHeaderRow="1" firstDataRow="1" firstDataCol="1"/>
  <pivotFields count="8">
    <pivotField numFmtId="164"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showAll="0"/>
    <pivotField axis="axisRow" showAll="0">
      <items count="7">
        <item x="3"/>
        <item x="2"/>
        <item x="1"/>
        <item x="5"/>
        <item x="4"/>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Revenue" fld="5" baseField="0" baseItem="0"/>
  </dataFields>
  <formats count="6">
    <format dxfId="26">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CD07391-F433-460D-BBAD-FD7C41712742}" name="PivotTable28" cacheId="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12:J117" firstHeaderRow="1" firstDataRow="1" firstDataCol="1"/>
  <pivotFields count="6">
    <pivotField numFmtId="164" showAll="0"/>
    <pivotField axis="axisRow" showAll="0">
      <items count="5">
        <item x="3"/>
        <item x="2"/>
        <item x="0"/>
        <item x="1"/>
        <item t="default"/>
      </items>
    </pivotField>
    <pivotField showAll="0"/>
    <pivotField showAll="0"/>
    <pivotField showAll="0"/>
    <pivotField dataField="1" showAll="0"/>
  </pivotFields>
  <rowFields count="1">
    <field x="1"/>
  </rowFields>
  <rowItems count="5">
    <i>
      <x/>
    </i>
    <i>
      <x v="1"/>
    </i>
    <i>
      <x v="2"/>
    </i>
    <i>
      <x v="3"/>
    </i>
    <i t="grand">
      <x/>
    </i>
  </rowItems>
  <colItems count="1">
    <i/>
  </colItems>
  <dataFields count="1">
    <dataField name="Sum of Revenue" fld="5" baseField="0" baseItem="0"/>
  </dataFields>
  <formats count="7">
    <format dxfId="13">
      <pivotArea type="all" dataOnly="0" outline="0" fieldPosition="0"/>
    </format>
    <format dxfId="6">
      <pivotArea outline="0" collapsedLevelsAreSubtotals="1" fieldPosition="0"/>
    </format>
    <format dxfId="5">
      <pivotArea field="1" type="button" dataOnly="0" labelOnly="1" outline="0" axis="axisRow" fieldPosition="0"/>
    </format>
    <format dxfId="4">
      <pivotArea dataOnly="0" labelOnly="1" fieldPosition="0">
        <references count="1">
          <reference field="1" count="0"/>
        </references>
      </pivotArea>
    </format>
    <format dxfId="3">
      <pivotArea dataOnly="0" labelOnly="1" grandRow="1" outline="0" fieldPosition="0"/>
    </format>
    <format dxfId="2">
      <pivotArea dataOnly="0" labelOnly="1" outline="0" axis="axisValues" fieldPosition="0"/>
    </format>
    <format dxfId="0">
      <pivotArea dataOnly="0" grandRow="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1F74D1F-C7C5-48F4-9BCF-0AAEA64C08C7}" sourceName="Region">
  <pivotTables>
    <pivotTable tabId="16" name="PivotTable13"/>
    <pivotTable tabId="16" name="PivotTable16"/>
  </pivotTables>
  <data>
    <tabular pivotCacheId="1241379173">
      <items count="4">
        <i x="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8941195E-DD58-489F-980C-D54AF8A96FF0}" sourceName="Product">
  <pivotTables>
    <pivotTable tabId="16" name="PivotTable15"/>
  </pivotTables>
  <data>
    <tabular pivotCacheId="163659155">
      <items count="6">
        <i x="3" s="1"/>
        <i x="2" s="1"/>
        <i x="1" s="1"/>
        <i x="5"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5F9CD32-7B2F-4A9E-B953-4E480727C9F2}" sourceName="Region">
  <pivotTables>
    <pivotTable tabId="16" name="PivotTable17"/>
  </pivotTables>
  <data>
    <tabular pivotCacheId="1241379173">
      <items count="4">
        <i x="3"/>
        <i x="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EFE128CF-42D5-48A1-8A64-EE10170647AA}" sourceName="Product">
  <pivotTables>
    <pivotTable tabId="16" name="PivotTable17"/>
  </pivotTables>
  <data>
    <tabular pivotCacheId="1241379173">
      <items count="6">
        <i x="3"/>
        <i x="2"/>
        <i x="1" s="1"/>
        <i x="5"/>
        <i x="4"/>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C1534BCD-B790-472A-BFBB-E4D1FF49DC42}" sourceName="Region">
  <pivotTables>
    <pivotTable tabId="16" name="PivotTable18"/>
    <pivotTable tabId="16" name="PivotTable19"/>
    <pivotTable tabId="16" name="PivotTable20"/>
    <pivotTable tabId="16" name="PivotTable21"/>
  </pivotTables>
  <data>
    <tabular pivotCacheId="1241379173">
      <items count="4">
        <i x="3"/>
        <i x="2"/>
        <i x="0" s="1"/>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145C58C6-7E8D-472A-B7B7-64BF75A60DD2}" sourceName="Months (Date)">
  <pivotTables>
    <pivotTable tabId="16" name="PivotTable21"/>
  </pivotTables>
  <data>
    <tabular pivotCacheId="1241379173">
      <items count="14">
        <i x="1" s="1"/>
        <i x="3" s="1"/>
        <i x="4" s="1"/>
        <i x="5"/>
        <i x="6"/>
        <i x="7"/>
        <i x="8"/>
        <i x="9"/>
        <i x="10"/>
        <i x="2" nd="1"/>
        <i x="11" nd="1"/>
        <i x="12" nd="1"/>
        <i x="0" nd="1"/>
        <i x="13"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00CC2BD5-48E1-45C0-8E31-95087CA60903}" sourceName="Region">
  <pivotTables>
    <pivotTable tabId="16" name="PivotTable25"/>
    <pivotTable tabId="16" name="PivotTable27"/>
  </pivotTables>
  <data>
    <tabular pivotCacheId="1241379173">
      <items count="4">
        <i x="3" s="1"/>
        <i x="2"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7901E039-0578-4757-9553-004CFB16043C}" sourceName="Product">
  <pivotTables>
    <pivotTable tabId="16" name="PivotTable26"/>
  </pivotTables>
  <data>
    <tabular pivotCacheId="1596218380">
      <items count="6">
        <i x="3" s="1"/>
        <i x="2" s="1"/>
        <i x="1" s="1"/>
        <i x="5" s="1"/>
        <i x="4"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1" xr10:uid="{0F70C45A-8098-4988-A510-A44D7BD31658}" sourceName="Months (Date)">
  <pivotTables>
    <pivotTable tabId="16" name="PivotTable27"/>
    <pivotTable tabId="16" name="PivotTable25"/>
  </pivotTables>
  <data>
    <tabular pivotCacheId="1241379173">
      <items count="14">
        <i x="1" s="1"/>
        <i x="2" s="1"/>
        <i x="3" s="1"/>
        <i x="4" s="1"/>
        <i x="5" s="1"/>
        <i x="6" s="1"/>
        <i x="7" s="1"/>
        <i x="8" s="1"/>
        <i x="9" s="1"/>
        <i x="10" s="1"/>
        <i x="11" s="1" nd="1"/>
        <i x="12" s="1" nd="1"/>
        <i x="0" s="1" nd="1"/>
        <i x="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0265F97B-A04B-421B-AA29-C20D35777227}" sourceName="Region">
  <pivotTables>
    <pivotTable tabId="17" name="PivotTable30"/>
  </pivotTables>
  <data>
    <tabular pivotCacheId="1027952191">
      <items count="4">
        <i x="3"/>
        <i x="2"/>
        <i x="0"/>
        <i x="1" s="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A4D4F4B2-7778-4488-A6CF-D0293881532D}" sourceName="Product">
  <pivotTables>
    <pivotTable tabId="17" name="PivotTable31"/>
  </pivotTables>
  <data>
    <tabular pivotCacheId="163659155">
      <items count="6">
        <i x="3"/>
        <i x="2"/>
        <i x="1" s="1"/>
        <i x="5"/>
        <i x="4"/>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2B6F23E-C216-4F7C-814D-7AA10C76E9B0}" cache="Slicer_Region" caption="Region" rowHeight="234950"/>
  <slicer name="Region 1" xr10:uid="{9A9D969A-7B81-4535-BF9D-923CE71D7027}" cache="Slicer_Region" caption="Region" rowHeight="234950"/>
  <slicer name="Region 2" xr10:uid="{5C4CFE37-9163-474A-925D-87F1D669B9E7}" cache="Slicer_Region" caption="Region" rowHeight="234950"/>
  <slicer name="Product" xr10:uid="{45B76201-9B72-4ECA-BB29-7F7A8821DF33}" cache="Slicer_Product" caption="Product" rowHeight="234950"/>
  <slicer name="Region 3" xr10:uid="{14EFAEE1-7E46-4F00-8DF3-EF9B1B744D3C}" cache="Slicer_Region1" caption="Region" rowHeight="234950"/>
  <slicer name="Product 1" xr10:uid="{6B205BB2-A2FE-48D0-995E-BFECA0C40735}" cache="Slicer_Product1" caption="Product" rowHeight="234950"/>
  <slicer name="Region 4" xr10:uid="{331F138D-A7A0-4A93-A8F8-6E6E68A1399D}" cache="Slicer_Region2" caption="Region" rowHeight="234950"/>
  <slicer name="Months (Date)" xr10:uid="{FC8E1F64-1F23-4CD4-BF15-989BEB54D59D}" cache="Slicer_Months__Date" caption="Months (Date)" rowHeight="234950"/>
  <slicer name="Region 5" xr10:uid="{34D06676-B344-4688-B995-CB5FB8272D1F}" cache="Slicer_Region3" caption="Region" rowHeight="234950"/>
  <slicer name="Product 2" xr10:uid="{F7F13698-E61A-4E0C-9159-233211D5B1D1}" cache="Slicer_Product2" caption="Product" rowHeight="234950"/>
  <slicer name="Months (Date) 1" xr10:uid="{07EBCBDD-5573-44F2-B9AE-C710170B7E99}" cache="Slicer_Months__Date1" caption="Months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70440D6B-0B35-4D02-9448-D3C15C6C79BA}" cache="Slicer_Region3" caption="Region" rowHeight="234950"/>
  <slicer name="Region 8" xr10:uid="{B2A9FD82-BBAE-4D84-9C5A-A1432CCDE961}" cache="Slicer_Region3" caption="Region" rowHeight="234950"/>
  <slicer name="Product 3" xr10:uid="{265A2E55-50E6-44A9-93E0-DAE2453E3114}" cache="Slicer_Product2" caption="Product" rowHeight="234950"/>
  <slicer name="Product 5" xr10:uid="{08CF9F3C-718D-4697-BCE2-713E80847AB8}" cache="Slicer_Product2" caption="Product" rowHeight="234950"/>
  <slicer name="Region 7" xr10:uid="{87987BD8-55A2-4A75-92CA-C615951D171E}" cache="Slicer_Region4" caption="Region" rowHeight="234950"/>
  <slicer name="Product 4" xr10:uid="{23CDEE69-BC07-4442-8510-78F190921858}" cache="Slicer_Product3"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drawing" Target="../drawings/drawing1.xml"/><Relationship Id="rId4"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microsoft.com/office/2007/relationships/slicer" Target="../slicers/slicer1.xml"/><Relationship Id="rId3" Type="http://schemas.openxmlformats.org/officeDocument/2006/relationships/pivotTable" Target="../pivotTables/pivotTable12.xml"/><Relationship Id="rId7" Type="http://schemas.openxmlformats.org/officeDocument/2006/relationships/pivotTable" Target="../pivotTables/pivotTable16.xml"/><Relationship Id="rId12" Type="http://schemas.openxmlformats.org/officeDocument/2006/relationships/drawing" Target="../drawings/drawing2.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0" Type="http://schemas.openxmlformats.org/officeDocument/2006/relationships/pivotTable" Target="../pivotTables/pivotTable19.xml"/><Relationship Id="rId4" Type="http://schemas.openxmlformats.org/officeDocument/2006/relationships/pivotTable" Target="../pivotTables/pivotTable13.xml"/><Relationship Id="rId9" Type="http://schemas.openxmlformats.org/officeDocument/2006/relationships/pivotTable" Target="../pivotTables/pivotTable18.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
  <sheetViews>
    <sheetView workbookViewId="0"/>
  </sheetViews>
  <sheetFormatPr defaultRowHeight="14.4" x14ac:dyDescent="0.3"/>
  <sheetData>
    <row r="1" ht="24" customHeight="1" x14ac:dyDescent="0.3"/>
    <row r="4" ht="22.05" customHeight="1" x14ac:dyDescent="0.3"/>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showGridLines="0" workbookViewId="0">
      <pane ySplit="3" topLeftCell="A7" activePane="bottomLeft" state="frozen"/>
      <selection pane="bottomLeft"/>
    </sheetView>
  </sheetViews>
  <sheetFormatPr defaultRowHeight="14.4" x14ac:dyDescent="0.3"/>
  <cols>
    <col min="1" max="1" width="110" customWidth="1"/>
    <col min="2" max="5" width="20" customWidth="1"/>
  </cols>
  <sheetData>
    <row r="1" spans="1:4" ht="24" customHeight="1" x14ac:dyDescent="0.4">
      <c r="A1" s="1" t="s">
        <v>0</v>
      </c>
    </row>
    <row r="2" spans="1:4" x14ac:dyDescent="0.3">
      <c r="A2" s="2" t="s">
        <v>1</v>
      </c>
    </row>
    <row r="4" spans="1:4" ht="22.05" customHeight="1" x14ac:dyDescent="0.3">
      <c r="A4" t="s">
        <v>2</v>
      </c>
    </row>
    <row r="5" spans="1:4" x14ac:dyDescent="0.3">
      <c r="A5" s="3" t="s">
        <v>3</v>
      </c>
      <c r="B5" s="4" t="s">
        <v>4</v>
      </c>
      <c r="C5" s="5" t="s">
        <v>5</v>
      </c>
      <c r="D5" s="6" t="s">
        <v>6</v>
      </c>
    </row>
    <row r="7" spans="1:4" x14ac:dyDescent="0.3">
      <c r="A7" s="7" t="s">
        <v>7</v>
      </c>
    </row>
    <row r="8" spans="1:4" x14ac:dyDescent="0.3">
      <c r="A8" t="s">
        <v>8</v>
      </c>
    </row>
    <row r="9" spans="1:4" x14ac:dyDescent="0.3">
      <c r="A9" t="s">
        <v>9</v>
      </c>
    </row>
    <row r="10" spans="1:4" x14ac:dyDescent="0.3">
      <c r="A10" t="s">
        <v>10</v>
      </c>
    </row>
    <row r="11" spans="1:4" x14ac:dyDescent="0.3">
      <c r="A11" t="s">
        <v>11</v>
      </c>
    </row>
    <row r="12" spans="1:4" x14ac:dyDescent="0.3">
      <c r="A12" t="s">
        <v>12</v>
      </c>
    </row>
    <row r="13" spans="1:4" x14ac:dyDescent="0.3">
      <c r="A13" t="s">
        <v>13</v>
      </c>
    </row>
    <row r="16" spans="1:4" x14ac:dyDescent="0.3">
      <c r="A16" t="s">
        <v>14</v>
      </c>
    </row>
    <row r="17" spans="1:1" x14ac:dyDescent="0.3">
      <c r="A17" t="s">
        <v>15</v>
      </c>
    </row>
    <row r="18" spans="1:1" x14ac:dyDescent="0.3">
      <c r="A18" t="s">
        <v>16</v>
      </c>
    </row>
    <row r="20" spans="1:1" x14ac:dyDescent="0.3">
      <c r="A20" t="s">
        <v>17</v>
      </c>
    </row>
    <row r="21" spans="1:1" x14ac:dyDescent="0.3">
      <c r="A21" t="s">
        <v>18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0"/>
  <sheetViews>
    <sheetView showGridLines="0" topLeftCell="C1" zoomScale="106" workbookViewId="0">
      <pane ySplit="4" topLeftCell="A69" activePane="bottomLeft" state="frozen"/>
      <selection pane="bottomLeft" activeCell="H60" sqref="H6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 min="10" max="10" width="12.109375" customWidth="1"/>
    <col min="11" max="11" width="14.44140625" customWidth="1"/>
  </cols>
  <sheetData>
    <row r="1" spans="1:11" ht="24" customHeight="1" x14ac:dyDescent="0.4">
      <c r="A1" s="1" t="s">
        <v>19</v>
      </c>
    </row>
    <row r="2" spans="1:11" x14ac:dyDescent="0.3">
      <c r="A2" s="2" t="s">
        <v>20</v>
      </c>
    </row>
    <row r="4" spans="1:11" ht="22.05" customHeight="1" x14ac:dyDescent="0.3">
      <c r="A4" s="7" t="s">
        <v>21</v>
      </c>
    </row>
    <row r="5" spans="1:11" x14ac:dyDescent="0.3">
      <c r="A5" s="8" t="s">
        <v>22</v>
      </c>
      <c r="B5" s="8" t="s">
        <v>23</v>
      </c>
      <c r="C5" s="8" t="s">
        <v>24</v>
      </c>
      <c r="D5" s="8" t="s">
        <v>25</v>
      </c>
      <c r="E5" s="8" t="s">
        <v>26</v>
      </c>
      <c r="F5" s="8" t="s">
        <v>27</v>
      </c>
      <c r="G5" s="8" t="s">
        <v>28</v>
      </c>
      <c r="H5" s="8" t="s">
        <v>29</v>
      </c>
      <c r="J5" s="20" t="s">
        <v>22</v>
      </c>
      <c r="K5" s="20" t="s">
        <v>42</v>
      </c>
    </row>
    <row r="6" spans="1:11" x14ac:dyDescent="0.3">
      <c r="A6" s="9" t="s">
        <v>30</v>
      </c>
      <c r="B6" s="9" t="s">
        <v>31</v>
      </c>
      <c r="C6" s="9" t="s">
        <v>32</v>
      </c>
      <c r="D6" s="9" t="s">
        <v>33</v>
      </c>
      <c r="E6" s="9">
        <v>45000</v>
      </c>
      <c r="F6" s="9">
        <v>2</v>
      </c>
      <c r="G6" s="9" t="s">
        <v>34</v>
      </c>
      <c r="H6" s="9">
        <v>25000</v>
      </c>
      <c r="J6" s="19"/>
      <c r="K6" s="19"/>
    </row>
    <row r="7" spans="1:11" x14ac:dyDescent="0.3">
      <c r="A7" s="9" t="s">
        <v>35</v>
      </c>
      <c r="B7" s="9" t="s">
        <v>36</v>
      </c>
      <c r="C7" s="9" t="s">
        <v>37</v>
      </c>
      <c r="D7" s="9" t="s">
        <v>38</v>
      </c>
      <c r="E7" s="9">
        <v>40000</v>
      </c>
      <c r="F7" s="9">
        <v>3</v>
      </c>
      <c r="G7" s="9" t="s">
        <v>39</v>
      </c>
      <c r="H7" s="9">
        <v>30000</v>
      </c>
      <c r="J7" s="19" t="s">
        <v>517</v>
      </c>
      <c r="K7" s="19" t="str">
        <f>VLOOKUP(K5,A6:H55,2,FALSE)</f>
        <v>Ananya Roy</v>
      </c>
    </row>
    <row r="8" spans="1:11" x14ac:dyDescent="0.3">
      <c r="A8" s="9" t="s">
        <v>40</v>
      </c>
      <c r="B8" s="9" t="s">
        <v>41</v>
      </c>
      <c r="C8" s="9" t="s">
        <v>32</v>
      </c>
      <c r="D8" s="9" t="s">
        <v>33</v>
      </c>
      <c r="E8" s="9">
        <v>50000</v>
      </c>
      <c r="F8" s="9">
        <v>4</v>
      </c>
      <c r="G8" s="9" t="s">
        <v>39</v>
      </c>
      <c r="H8" s="9">
        <v>42000</v>
      </c>
      <c r="J8" s="19" t="s">
        <v>24</v>
      </c>
      <c r="K8" s="19" t="str">
        <f>VLOOKUP(K5, A6:H55,3,FALSE)</f>
        <v>Finance</v>
      </c>
    </row>
    <row r="9" spans="1:11" x14ac:dyDescent="0.3">
      <c r="A9" s="9" t="s">
        <v>42</v>
      </c>
      <c r="B9" s="9" t="s">
        <v>43</v>
      </c>
      <c r="C9" s="9" t="s">
        <v>44</v>
      </c>
      <c r="D9" s="9" t="s">
        <v>45</v>
      </c>
      <c r="E9" s="9">
        <v>55000</v>
      </c>
      <c r="F9" s="9">
        <v>5</v>
      </c>
      <c r="G9" s="9" t="s">
        <v>34</v>
      </c>
      <c r="H9" s="9">
        <v>38000</v>
      </c>
      <c r="J9" s="19" t="s">
        <v>25</v>
      </c>
      <c r="K9" s="19" t="str">
        <f>VLOOKUP(K5,A6:H55,4,FALSE)</f>
        <v>Kolkata</v>
      </c>
    </row>
    <row r="10" spans="1:11" x14ac:dyDescent="0.3">
      <c r="A10" s="9" t="s">
        <v>46</v>
      </c>
      <c r="B10" s="9" t="s">
        <v>47</v>
      </c>
      <c r="C10" s="9" t="s">
        <v>48</v>
      </c>
      <c r="D10" s="9" t="s">
        <v>33</v>
      </c>
      <c r="E10" s="9">
        <v>38000</v>
      </c>
      <c r="F10" s="9">
        <v>1</v>
      </c>
      <c r="G10" s="9" t="s">
        <v>49</v>
      </c>
      <c r="H10" s="9">
        <v>22000</v>
      </c>
      <c r="J10" s="19" t="s">
        <v>26</v>
      </c>
      <c r="K10" s="19">
        <f>VLOOKUP(K5,A6:H55,5,FALSE)</f>
        <v>55000</v>
      </c>
    </row>
    <row r="11" spans="1:11" x14ac:dyDescent="0.3">
      <c r="A11" s="9" t="s">
        <v>50</v>
      </c>
      <c r="B11" s="9" t="s">
        <v>51</v>
      </c>
      <c r="C11" s="9" t="s">
        <v>32</v>
      </c>
      <c r="D11" s="9" t="s">
        <v>52</v>
      </c>
      <c r="E11" s="9">
        <v>60000</v>
      </c>
      <c r="F11" s="9">
        <v>6</v>
      </c>
      <c r="G11" s="9" t="s">
        <v>39</v>
      </c>
      <c r="H11" s="9">
        <v>55000</v>
      </c>
    </row>
    <row r="12" spans="1:11" x14ac:dyDescent="0.3">
      <c r="A12" s="9" t="s">
        <v>53</v>
      </c>
      <c r="B12" s="9" t="s">
        <v>54</v>
      </c>
      <c r="C12" s="9" t="s">
        <v>37</v>
      </c>
      <c r="D12" s="9" t="s">
        <v>33</v>
      </c>
      <c r="E12" s="9">
        <v>42000</v>
      </c>
      <c r="F12" s="9">
        <v>2</v>
      </c>
      <c r="G12" s="9" t="s">
        <v>34</v>
      </c>
      <c r="H12" s="9">
        <v>28000</v>
      </c>
    </row>
    <row r="13" spans="1:11" x14ac:dyDescent="0.3">
      <c r="A13" s="9" t="s">
        <v>55</v>
      </c>
      <c r="B13" s="9" t="s">
        <v>56</v>
      </c>
      <c r="C13" s="9" t="s">
        <v>44</v>
      </c>
      <c r="D13" s="9" t="s">
        <v>38</v>
      </c>
      <c r="E13" s="9">
        <v>52000</v>
      </c>
      <c r="F13" s="9">
        <v>5</v>
      </c>
      <c r="G13" s="9" t="s">
        <v>39</v>
      </c>
      <c r="H13" s="9">
        <v>46000</v>
      </c>
    </row>
    <row r="14" spans="1:11" x14ac:dyDescent="0.3">
      <c r="A14" s="9" t="s">
        <v>57</v>
      </c>
      <c r="B14" s="9" t="s">
        <v>58</v>
      </c>
      <c r="C14" s="9" t="s">
        <v>48</v>
      </c>
      <c r="D14" s="9" t="s">
        <v>59</v>
      </c>
      <c r="E14" s="9">
        <v>39000</v>
      </c>
      <c r="F14" s="9">
        <v>2</v>
      </c>
      <c r="G14" s="9" t="s">
        <v>49</v>
      </c>
      <c r="H14" s="9">
        <v>24000</v>
      </c>
    </row>
    <row r="15" spans="1:11" x14ac:dyDescent="0.3">
      <c r="A15" s="9" t="s">
        <v>60</v>
      </c>
      <c r="B15" s="9" t="s">
        <v>61</v>
      </c>
      <c r="C15" s="9" t="s">
        <v>32</v>
      </c>
      <c r="D15" s="9" t="s">
        <v>62</v>
      </c>
      <c r="E15" s="9">
        <v>65000</v>
      </c>
      <c r="F15" s="9">
        <v>7</v>
      </c>
      <c r="G15" s="9" t="s">
        <v>39</v>
      </c>
      <c r="H15" s="9">
        <v>62000</v>
      </c>
    </row>
    <row r="16" spans="1:11"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9" x14ac:dyDescent="0.3">
      <c r="A49" s="9" t="s">
        <v>134</v>
      </c>
      <c r="B49" s="9" t="s">
        <v>135</v>
      </c>
      <c r="C49" s="9" t="s">
        <v>67</v>
      </c>
      <c r="D49" s="9" t="s">
        <v>59</v>
      </c>
      <c r="E49" s="9">
        <v>92000</v>
      </c>
      <c r="F49" s="9">
        <v>8</v>
      </c>
      <c r="G49" s="9" t="s">
        <v>34</v>
      </c>
      <c r="H49" s="9">
        <v>137483</v>
      </c>
    </row>
    <row r="50" spans="1:9" x14ac:dyDescent="0.3">
      <c r="A50" s="9" t="s">
        <v>136</v>
      </c>
      <c r="B50" s="9" t="s">
        <v>137</v>
      </c>
      <c r="C50" s="9" t="s">
        <v>67</v>
      </c>
      <c r="D50" s="9" t="s">
        <v>62</v>
      </c>
      <c r="E50" s="9">
        <v>63000</v>
      </c>
      <c r="F50" s="9">
        <v>1</v>
      </c>
      <c r="G50" s="9" t="s">
        <v>39</v>
      </c>
      <c r="H50" s="9">
        <v>84217</v>
      </c>
    </row>
    <row r="51" spans="1:9" x14ac:dyDescent="0.3">
      <c r="A51" s="9" t="s">
        <v>138</v>
      </c>
      <c r="B51" s="9" t="s">
        <v>139</v>
      </c>
      <c r="C51" s="9" t="s">
        <v>37</v>
      </c>
      <c r="D51" s="9" t="s">
        <v>52</v>
      </c>
      <c r="E51" s="9">
        <v>82000</v>
      </c>
      <c r="F51" s="9">
        <v>9</v>
      </c>
      <c r="G51" s="9" t="s">
        <v>39</v>
      </c>
      <c r="H51" s="9">
        <v>43995</v>
      </c>
    </row>
    <row r="52" spans="1:9" x14ac:dyDescent="0.3">
      <c r="A52" s="9" t="s">
        <v>140</v>
      </c>
      <c r="B52" s="9" t="s">
        <v>141</v>
      </c>
      <c r="C52" s="9" t="s">
        <v>82</v>
      </c>
      <c r="D52" s="9" t="s">
        <v>33</v>
      </c>
      <c r="E52" s="9">
        <v>75000</v>
      </c>
      <c r="F52" s="9">
        <v>10</v>
      </c>
      <c r="G52" s="9" t="s">
        <v>34</v>
      </c>
      <c r="H52" s="9">
        <v>70819</v>
      </c>
    </row>
    <row r="53" spans="1:9" x14ac:dyDescent="0.3">
      <c r="A53" s="9" t="s">
        <v>142</v>
      </c>
      <c r="B53" s="9" t="s">
        <v>143</v>
      </c>
      <c r="C53" s="9" t="s">
        <v>44</v>
      </c>
      <c r="D53" s="9" t="s">
        <v>33</v>
      </c>
      <c r="E53" s="9">
        <v>73000</v>
      </c>
      <c r="F53" s="9">
        <v>4</v>
      </c>
      <c r="G53" s="9" t="s">
        <v>49</v>
      </c>
      <c r="H53" s="9">
        <v>88839</v>
      </c>
    </row>
    <row r="54" spans="1:9" x14ac:dyDescent="0.3">
      <c r="A54" s="9" t="s">
        <v>144</v>
      </c>
      <c r="B54" s="9" t="s">
        <v>145</v>
      </c>
      <c r="C54" s="9" t="s">
        <v>48</v>
      </c>
      <c r="D54" s="9" t="s">
        <v>83</v>
      </c>
      <c r="E54" s="9">
        <v>58000</v>
      </c>
      <c r="F54" s="9">
        <v>14</v>
      </c>
      <c r="G54" s="9" t="s">
        <v>39</v>
      </c>
      <c r="H54" s="9">
        <v>79452</v>
      </c>
    </row>
    <row r="55" spans="1:9" x14ac:dyDescent="0.3">
      <c r="A55" s="9" t="s">
        <v>146</v>
      </c>
      <c r="B55" s="9" t="s">
        <v>147</v>
      </c>
      <c r="C55" s="9" t="s">
        <v>32</v>
      </c>
      <c r="D55" s="9" t="s">
        <v>83</v>
      </c>
      <c r="E55" s="9">
        <v>70000</v>
      </c>
      <c r="F55" s="9">
        <v>13</v>
      </c>
      <c r="G55" s="9" t="s">
        <v>73</v>
      </c>
      <c r="H55" s="9">
        <v>96079</v>
      </c>
    </row>
    <row r="60" spans="1:9" x14ac:dyDescent="0.3">
      <c r="A60" s="10" t="s">
        <v>148</v>
      </c>
      <c r="B60" s="10" t="s">
        <v>149</v>
      </c>
      <c r="C60" s="10" t="s">
        <v>150</v>
      </c>
      <c r="D60" s="10" t="s">
        <v>151</v>
      </c>
      <c r="E60" s="10" t="s">
        <v>152</v>
      </c>
      <c r="F60" s="21" t="s">
        <v>153</v>
      </c>
      <c r="G60" s="25" t="s">
        <v>515</v>
      </c>
      <c r="H60" s="25" t="s">
        <v>516</v>
      </c>
      <c r="I60" s="23"/>
    </row>
    <row r="61" spans="1:9" ht="28.8" x14ac:dyDescent="0.3">
      <c r="A61" s="11">
        <v>1</v>
      </c>
      <c r="B61" s="11" t="s">
        <v>154</v>
      </c>
      <c r="C61" s="12" t="s">
        <v>3</v>
      </c>
      <c r="D61" s="11" t="s">
        <v>32</v>
      </c>
      <c r="E61" s="11" t="str">
        <f>VLOOKUP("E103",$A$6:$H$55,3,FALSE)</f>
        <v>IT</v>
      </c>
      <c r="F61" s="22" t="s">
        <v>155</v>
      </c>
      <c r="G61" s="23">
        <v>1</v>
      </c>
      <c r="H61" s="23" t="str">
        <f>VLOOKUP("E103",A6:H55,3,FALSE)</f>
        <v>IT</v>
      </c>
      <c r="I61" s="23"/>
    </row>
    <row r="62" spans="1:9" ht="28.8" x14ac:dyDescent="0.3">
      <c r="A62" s="11">
        <v>2</v>
      </c>
      <c r="B62" s="11" t="s">
        <v>156</v>
      </c>
      <c r="C62" s="12" t="s">
        <v>3</v>
      </c>
      <c r="D62" s="11" t="s">
        <v>157</v>
      </c>
      <c r="E62" s="11">
        <f>VLOOKUP("E105",$A$6:$H$55,5,FALSE)</f>
        <v>38000</v>
      </c>
      <c r="F62" s="22" t="s">
        <v>155</v>
      </c>
      <c r="G62" s="23">
        <v>2</v>
      </c>
      <c r="H62" s="23">
        <f>VLOOKUP("E105",A6:H55, 5,FALSE)</f>
        <v>38000</v>
      </c>
      <c r="I62" s="23"/>
    </row>
    <row r="63" spans="1:9" ht="28.8" x14ac:dyDescent="0.3">
      <c r="A63" s="11">
        <v>3</v>
      </c>
      <c r="B63" s="11" t="s">
        <v>158</v>
      </c>
      <c r="C63" s="12" t="s">
        <v>3</v>
      </c>
      <c r="D63" s="11" t="s">
        <v>36</v>
      </c>
      <c r="E63" s="11" t="str">
        <f>VLOOKUP("E102",$A$6:$H$55,2,FALSE)</f>
        <v>Priya Singh</v>
      </c>
      <c r="F63" s="22" t="s">
        <v>155</v>
      </c>
      <c r="G63" s="23">
        <v>3</v>
      </c>
      <c r="H63" s="23" t="str">
        <f>VLOOKUP("E102",A6:H55,2,FALSE)</f>
        <v>Priya Singh</v>
      </c>
      <c r="I63" s="23"/>
    </row>
    <row r="64" spans="1:9" ht="28.8" x14ac:dyDescent="0.3">
      <c r="A64" s="11">
        <v>4</v>
      </c>
      <c r="B64" s="11" t="s">
        <v>159</v>
      </c>
      <c r="C64" s="13" t="s">
        <v>4</v>
      </c>
      <c r="D64" s="11" t="s">
        <v>62</v>
      </c>
      <c r="E64" s="11" t="str">
        <f>VLOOKUP("E110",$A$6:$H$55,4,FALSE)</f>
        <v>Pune</v>
      </c>
      <c r="F64" s="22" t="s">
        <v>155</v>
      </c>
      <c r="G64" s="23">
        <v>4</v>
      </c>
      <c r="H64" s="23" t="str">
        <f>VLOOKUP("E110",A6:H55,4,FALSE)</f>
        <v>Pune</v>
      </c>
      <c r="I64" s="23"/>
    </row>
    <row r="65" spans="1:9" ht="28.8" x14ac:dyDescent="0.3">
      <c r="A65" s="11">
        <v>5</v>
      </c>
      <c r="B65" s="11" t="s">
        <v>160</v>
      </c>
      <c r="C65" s="13" t="s">
        <v>4</v>
      </c>
      <c r="D65" s="11" t="s">
        <v>161</v>
      </c>
      <c r="E65" s="11">
        <f>VLOOKUP("E106",$A$6:$H$55,5,FALSE)</f>
        <v>60000</v>
      </c>
      <c r="F65" s="22" t="s">
        <v>155</v>
      </c>
      <c r="G65" s="23">
        <v>5</v>
      </c>
      <c r="H65" s="23">
        <f>VLOOKUP("E106",A6:H55, 8,FALSE)</f>
        <v>55000</v>
      </c>
      <c r="I65" s="23"/>
    </row>
    <row r="66" spans="1:9" ht="28.8" x14ac:dyDescent="0.3">
      <c r="A66" s="11">
        <v>6</v>
      </c>
      <c r="B66" s="11" t="s">
        <v>162</v>
      </c>
      <c r="C66" s="13" t="s">
        <v>4</v>
      </c>
      <c r="D66" s="11" t="s">
        <v>163</v>
      </c>
      <c r="E66" s="11" t="str">
        <f>IFERROR(VLOOKUP("E999",$A$6:$H$55,2,FALSE),"Employee Not Found")</f>
        <v>Employee Not Found</v>
      </c>
      <c r="F66" s="22" t="s">
        <v>155</v>
      </c>
      <c r="G66" s="23">
        <v>6</v>
      </c>
      <c r="H66" s="23" t="str">
        <f>IFERROR(VLOOKUP("E999",A6:H55,2,FALSE),"Employee not found")</f>
        <v>Employee not found</v>
      </c>
      <c r="I66" s="23"/>
    </row>
    <row r="67" spans="1:9" ht="28.8" x14ac:dyDescent="0.3">
      <c r="A67" s="11">
        <v>7</v>
      </c>
      <c r="B67" s="11" t="s">
        <v>164</v>
      </c>
      <c r="C67" s="14" t="s">
        <v>5</v>
      </c>
      <c r="D67" s="11" t="s">
        <v>165</v>
      </c>
      <c r="E67" s="11" t="str">
        <f>VLOOKUP("E104",$A$6:$H$55,2,FALSE)&amp;" - "&amp;VLOOKUP("E104",$A$6:$H$55,3,FALSE)</f>
        <v>Ananya Roy - Finance</v>
      </c>
      <c r="F67" s="22" t="s">
        <v>155</v>
      </c>
      <c r="G67" s="23">
        <v>7</v>
      </c>
      <c r="H67" s="23" t="str">
        <f>VLOOKUP("E104",A6:H55, 2,FALSE)&amp;"-"&amp;VLOOKUP("E104",A6:H55,3,FALSE)</f>
        <v>Ananya Roy-Finance</v>
      </c>
      <c r="I67" s="23"/>
    </row>
    <row r="68" spans="1:9" ht="28.8" x14ac:dyDescent="0.3">
      <c r="A68" s="11">
        <v>8</v>
      </c>
      <c r="B68" s="11" t="s">
        <v>166</v>
      </c>
      <c r="C68" s="14" t="s">
        <v>5</v>
      </c>
      <c r="D68" s="11" t="s">
        <v>167</v>
      </c>
      <c r="E68" s="11" t="str">
        <f>IF(VLOOKUP("E106",$A$6:$H$55,5,FALSE)&gt;50000,"High Salary","Normal Salary")</f>
        <v>High Salary</v>
      </c>
      <c r="F68" s="22" t="s">
        <v>155</v>
      </c>
      <c r="G68" s="23">
        <v>8</v>
      </c>
      <c r="H68" s="23" t="str">
        <f>IF(VLOOKUP("E106",A6:H55,5,FALSE)&gt;50000,"High Salary", "Normal Salary")</f>
        <v>High Salary</v>
      </c>
      <c r="I68" s="23"/>
    </row>
    <row r="69" spans="1:9" ht="28.8" x14ac:dyDescent="0.3">
      <c r="A69" s="11">
        <v>9</v>
      </c>
      <c r="B69" s="11" t="s">
        <v>168</v>
      </c>
      <c r="C69" s="14" t="s">
        <v>5</v>
      </c>
      <c r="D69" s="11" t="s">
        <v>34</v>
      </c>
      <c r="E69" s="11" t="str">
        <f>IFERROR(VLOOKUP("E107",$A$6:$H$55,7,FALSE),"Not Available")</f>
        <v>Good</v>
      </c>
      <c r="F69" s="22" t="s">
        <v>155</v>
      </c>
      <c r="G69" s="23">
        <v>9</v>
      </c>
      <c r="H69" s="23" t="str">
        <f>IFERROR(VLOOKUP("E107",A6:H55,7,FALSE),"NOT AVAILABLE")</f>
        <v>Good</v>
      </c>
      <c r="I69" s="23"/>
    </row>
    <row r="70" spans="1:9" ht="57.6" x14ac:dyDescent="0.3">
      <c r="A70" s="11">
        <v>10</v>
      </c>
      <c r="B70" s="11" t="s">
        <v>169</v>
      </c>
      <c r="C70" s="15" t="s">
        <v>6</v>
      </c>
      <c r="D70" s="11" t="s">
        <v>170</v>
      </c>
      <c r="E70" s="11" t="e">
        <f>VLOOKUP(I2,$A$6:$H$55,2,FALSE)&amp;" - "&amp;VLOOKUP(I2,$A$6:$H$55,3,FALSE)&amp;" - "&amp;VLOOKUP(I2,$A$6:$H$55,5,FALSE)</f>
        <v>#N/A</v>
      </c>
      <c r="F70" s="22" t="s">
        <v>155</v>
      </c>
      <c r="G70" s="23">
        <v>10</v>
      </c>
      <c r="H70" s="24" t="s">
        <v>518</v>
      </c>
      <c r="I70" s="2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23"/>
  <sheetViews>
    <sheetView showGridLines="0" topLeftCell="C1" workbookViewId="0">
      <pane ySplit="4" topLeftCell="A13" activePane="bottomLeft" state="frozen"/>
      <selection pane="bottomLeft" activeCell="H13" sqref="H13"/>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8" max="8" width="16.109375" customWidth="1"/>
    <col min="17" max="18" width="16" customWidth="1"/>
  </cols>
  <sheetData>
    <row r="1" spans="1:18" ht="24" customHeight="1" x14ac:dyDescent="0.4">
      <c r="A1" s="1" t="s">
        <v>171</v>
      </c>
    </row>
    <row r="2" spans="1:18" x14ac:dyDescent="0.3">
      <c r="A2" s="2" t="s">
        <v>172</v>
      </c>
    </row>
    <row r="4" spans="1:18" ht="22.05" customHeight="1" x14ac:dyDescent="0.3">
      <c r="A4" s="7" t="s">
        <v>173</v>
      </c>
      <c r="E4" s="7" t="s">
        <v>174</v>
      </c>
      <c r="I4" s="7" t="s">
        <v>175</v>
      </c>
      <c r="M4" s="7" t="s">
        <v>176</v>
      </c>
      <c r="Q4" s="7" t="s">
        <v>177</v>
      </c>
    </row>
    <row r="5" spans="1:18" x14ac:dyDescent="0.3">
      <c r="A5" s="8" t="s">
        <v>178</v>
      </c>
      <c r="B5" s="8" t="s">
        <v>179</v>
      </c>
      <c r="E5" s="8" t="s">
        <v>180</v>
      </c>
      <c r="F5" s="8" t="s">
        <v>181</v>
      </c>
      <c r="I5" s="8" t="s">
        <v>182</v>
      </c>
      <c r="J5" s="8" t="s">
        <v>183</v>
      </c>
      <c r="M5" s="8" t="s">
        <v>26</v>
      </c>
      <c r="N5" s="8" t="s">
        <v>184</v>
      </c>
      <c r="Q5" s="8" t="s">
        <v>185</v>
      </c>
      <c r="R5" s="8" t="s">
        <v>179</v>
      </c>
    </row>
    <row r="6" spans="1:18" x14ac:dyDescent="0.3">
      <c r="A6" s="9">
        <v>0</v>
      </c>
      <c r="B6" s="9" t="s">
        <v>186</v>
      </c>
      <c r="E6" s="9">
        <v>0</v>
      </c>
      <c r="F6" s="9" t="s">
        <v>187</v>
      </c>
      <c r="I6" s="9">
        <v>0</v>
      </c>
      <c r="J6" s="9" t="s">
        <v>188</v>
      </c>
      <c r="M6" s="9">
        <v>0</v>
      </c>
      <c r="N6" s="9" t="s">
        <v>188</v>
      </c>
      <c r="Q6" s="9">
        <v>90</v>
      </c>
      <c r="R6" s="9" t="s">
        <v>189</v>
      </c>
    </row>
    <row r="7" spans="1:18" x14ac:dyDescent="0.3">
      <c r="A7" s="9">
        <v>40</v>
      </c>
      <c r="B7" s="9" t="s">
        <v>190</v>
      </c>
      <c r="E7" s="9">
        <v>10000</v>
      </c>
      <c r="F7" s="9" t="s">
        <v>191</v>
      </c>
      <c r="I7" s="9">
        <v>200000</v>
      </c>
      <c r="J7" s="9" t="s">
        <v>191</v>
      </c>
      <c r="M7" s="9">
        <v>35000</v>
      </c>
      <c r="N7" s="9" t="s">
        <v>192</v>
      </c>
      <c r="Q7" s="9">
        <v>0</v>
      </c>
      <c r="R7" s="9" t="s">
        <v>186</v>
      </c>
    </row>
    <row r="8" spans="1:18" x14ac:dyDescent="0.3">
      <c r="A8" s="9">
        <v>60</v>
      </c>
      <c r="B8" s="9" t="s">
        <v>193</v>
      </c>
      <c r="E8" s="9">
        <v>25000</v>
      </c>
      <c r="F8" s="9" t="s">
        <v>194</v>
      </c>
      <c r="I8" s="9">
        <v>500000</v>
      </c>
      <c r="J8" s="9" t="s">
        <v>195</v>
      </c>
      <c r="M8" s="9">
        <v>50000</v>
      </c>
      <c r="N8" s="9" t="s">
        <v>191</v>
      </c>
      <c r="Q8" s="9">
        <v>75</v>
      </c>
      <c r="R8" s="9" t="s">
        <v>196</v>
      </c>
    </row>
    <row r="9" spans="1:18" x14ac:dyDescent="0.3">
      <c r="A9" s="9">
        <v>75</v>
      </c>
      <c r="B9" s="9" t="s">
        <v>196</v>
      </c>
      <c r="E9" s="9">
        <v>50000</v>
      </c>
      <c r="F9" s="9" t="s">
        <v>195</v>
      </c>
      <c r="I9" s="9">
        <v>1000000</v>
      </c>
      <c r="J9" s="9" t="s">
        <v>197</v>
      </c>
      <c r="M9" s="9">
        <v>65000</v>
      </c>
      <c r="N9" s="9" t="s">
        <v>198</v>
      </c>
      <c r="Q9" s="9">
        <v>40</v>
      </c>
      <c r="R9" s="9" t="s">
        <v>190</v>
      </c>
    </row>
    <row r="10" spans="1:18" x14ac:dyDescent="0.3">
      <c r="A10" s="9">
        <v>90</v>
      </c>
      <c r="B10" s="9" t="s">
        <v>189</v>
      </c>
      <c r="E10" s="9">
        <v>100000</v>
      </c>
      <c r="F10" s="9" t="s">
        <v>199</v>
      </c>
      <c r="I10" s="9">
        <v>2000000</v>
      </c>
      <c r="J10" s="9" t="s">
        <v>200</v>
      </c>
      <c r="M10" s="9">
        <v>80000</v>
      </c>
      <c r="N10" s="9" t="s">
        <v>195</v>
      </c>
      <c r="Q10" s="9">
        <v>60</v>
      </c>
      <c r="R10" s="9" t="s">
        <v>193</v>
      </c>
    </row>
    <row r="13" spans="1:18" x14ac:dyDescent="0.3">
      <c r="A13" s="10" t="s">
        <v>148</v>
      </c>
      <c r="B13" s="10" t="s">
        <v>149</v>
      </c>
      <c r="C13" s="10" t="s">
        <v>150</v>
      </c>
      <c r="D13" s="10" t="s">
        <v>151</v>
      </c>
      <c r="E13" s="10" t="s">
        <v>152</v>
      </c>
      <c r="F13" s="10" t="s">
        <v>153</v>
      </c>
      <c r="G13" s="30" t="s">
        <v>515</v>
      </c>
      <c r="H13" s="30" t="s">
        <v>516</v>
      </c>
      <c r="K13" s="27" t="s">
        <v>185</v>
      </c>
      <c r="L13" s="26">
        <v>78</v>
      </c>
    </row>
    <row r="14" spans="1:18" ht="28.8" x14ac:dyDescent="0.3">
      <c r="A14" s="11">
        <v>1</v>
      </c>
      <c r="B14" s="11" t="s">
        <v>201</v>
      </c>
      <c r="C14" s="12" t="s">
        <v>3</v>
      </c>
      <c r="D14" s="11" t="s">
        <v>193</v>
      </c>
      <c r="E14" s="11" t="str">
        <f>VLOOKUP(65,$A$6:$B$10,2,TRUE)</f>
        <v>C</v>
      </c>
      <c r="F14" s="11" t="s">
        <v>202</v>
      </c>
      <c r="G14" s="28">
        <v>1</v>
      </c>
      <c r="H14" s="28" t="str">
        <f>VLOOKUP(65,A6:B10,2,TRUE)</f>
        <v>C</v>
      </c>
      <c r="K14" s="26" t="s">
        <v>179</v>
      </c>
      <c r="L14" s="26" t="str">
        <f>VLOOKUP(L13,A6:B10,2,TRUE)</f>
        <v>B</v>
      </c>
    </row>
    <row r="15" spans="1:18" ht="28.8" x14ac:dyDescent="0.3">
      <c r="A15" s="11">
        <v>2</v>
      </c>
      <c r="B15" s="11" t="s">
        <v>203</v>
      </c>
      <c r="C15" s="12" t="s">
        <v>3</v>
      </c>
      <c r="D15" s="11" t="s">
        <v>196</v>
      </c>
      <c r="E15" s="11" t="str">
        <f>VLOOKUP(82,$A$6:$B$10,2,TRUE)</f>
        <v>B</v>
      </c>
      <c r="F15" s="11" t="s">
        <v>202</v>
      </c>
      <c r="G15" s="28">
        <v>2</v>
      </c>
      <c r="H15" s="28" t="str">
        <f>VLOOKUP(82,A6:B10,2,TRUE)</f>
        <v>B</v>
      </c>
    </row>
    <row r="16" spans="1:18" ht="28.8" x14ac:dyDescent="0.3">
      <c r="A16" s="11">
        <v>3</v>
      </c>
      <c r="B16" s="11" t="s">
        <v>204</v>
      </c>
      <c r="C16" s="12" t="s">
        <v>3</v>
      </c>
      <c r="D16" s="11" t="s">
        <v>186</v>
      </c>
      <c r="E16" s="11" t="str">
        <f>VLOOKUP(35,$A$6:$B$10,2,TRUE)</f>
        <v>F</v>
      </c>
      <c r="F16" s="11" t="s">
        <v>202</v>
      </c>
      <c r="G16" s="28">
        <v>3</v>
      </c>
      <c r="H16" s="28" t="str">
        <f>VLOOKUP(35,A6:B10,2,TRUE)</f>
        <v>F</v>
      </c>
    </row>
    <row r="17" spans="1:8" ht="28.8" x14ac:dyDescent="0.3">
      <c r="A17" s="11">
        <v>4</v>
      </c>
      <c r="B17" s="11" t="s">
        <v>205</v>
      </c>
      <c r="C17" s="13" t="s">
        <v>4</v>
      </c>
      <c r="D17" s="11" t="s">
        <v>194</v>
      </c>
      <c r="E17" s="11" t="str">
        <f>VLOOKUP(42000,$E$6:$F$10,2,TRUE)</f>
        <v>8%</v>
      </c>
      <c r="F17" s="11" t="s">
        <v>202</v>
      </c>
      <c r="G17" s="28">
        <v>4</v>
      </c>
      <c r="H17" s="28" t="str">
        <f>VLOOKUP(42000,E6:F10,2,TRUE)</f>
        <v>8%</v>
      </c>
    </row>
    <row r="18" spans="1:8" ht="28.8" x14ac:dyDescent="0.3">
      <c r="A18" s="11">
        <v>5</v>
      </c>
      <c r="B18" s="11" t="s">
        <v>206</v>
      </c>
      <c r="C18" s="13" t="s">
        <v>4</v>
      </c>
      <c r="D18" s="11" t="s">
        <v>195</v>
      </c>
      <c r="E18" s="11" t="str">
        <f>VLOOKUP(75000,$E$6:$F$10,2,TRUE)</f>
        <v>10%</v>
      </c>
      <c r="F18" s="11" t="s">
        <v>202</v>
      </c>
      <c r="G18" s="28">
        <v>5</v>
      </c>
      <c r="H18" s="28" t="str">
        <f>VLOOKUP(75000,E6:F10,2,TRUE)</f>
        <v>10%</v>
      </c>
    </row>
    <row r="19" spans="1:8" ht="28.8" x14ac:dyDescent="0.3">
      <c r="A19" s="11">
        <v>6</v>
      </c>
      <c r="B19" s="11" t="s">
        <v>207</v>
      </c>
      <c r="C19" s="13" t="s">
        <v>4</v>
      </c>
      <c r="D19" s="11" t="s">
        <v>191</v>
      </c>
      <c r="E19" s="11" t="str">
        <f>VLOOKUP(260000,$I$6:$J$10,2,TRUE)</f>
        <v>5%</v>
      </c>
      <c r="F19" s="11" t="s">
        <v>202</v>
      </c>
      <c r="G19" s="28">
        <v>6</v>
      </c>
      <c r="H19" s="28" t="str">
        <f>VLOOKUP(260000,I6:J10,2,TRUE)</f>
        <v>5%</v>
      </c>
    </row>
    <row r="20" spans="1:8" ht="28.8" x14ac:dyDescent="0.3">
      <c r="A20" s="11">
        <v>7</v>
      </c>
      <c r="B20" s="11" t="s">
        <v>208</v>
      </c>
      <c r="C20" s="14" t="s">
        <v>5</v>
      </c>
      <c r="D20" s="11" t="s">
        <v>196</v>
      </c>
      <c r="E20" s="11" t="str">
        <f>VLOOKUP(89,$A$6:$B$10,2,TRUE)</f>
        <v>B</v>
      </c>
      <c r="F20" s="11" t="s">
        <v>202</v>
      </c>
      <c r="G20" s="28">
        <v>7</v>
      </c>
      <c r="H20" s="28" t="str">
        <f>VLOOKUP(89,A6:B10,2,TRUE)</f>
        <v>B</v>
      </c>
    </row>
    <row r="21" spans="1:8" ht="28.8" x14ac:dyDescent="0.3">
      <c r="A21" s="11">
        <v>8</v>
      </c>
      <c r="B21" s="11" t="s">
        <v>209</v>
      </c>
      <c r="C21" s="14" t="s">
        <v>5</v>
      </c>
      <c r="D21" s="11" t="s">
        <v>198</v>
      </c>
      <c r="E21" s="11" t="str">
        <f>VLOOKUP(68000,$M$6:$N$10,2,TRUE)</f>
        <v>7%</v>
      </c>
      <c r="F21" s="11" t="s">
        <v>202</v>
      </c>
      <c r="G21" s="28">
        <v>8</v>
      </c>
      <c r="H21" s="28" t="str">
        <f>VLOOKUP(68000,M6:N10,2,TRUE)</f>
        <v>7%</v>
      </c>
    </row>
    <row r="22" spans="1:8" ht="28.8" x14ac:dyDescent="0.3">
      <c r="A22" s="11">
        <v>9</v>
      </c>
      <c r="B22" s="11" t="s">
        <v>210</v>
      </c>
      <c r="C22" s="14" t="s">
        <v>5</v>
      </c>
      <c r="D22" s="11" t="s">
        <v>211</v>
      </c>
      <c r="E22" s="11" t="e">
        <f>VLOOKUP(82,$P$6:$Q$10,2,TRUE)</f>
        <v>#N/A</v>
      </c>
      <c r="F22" s="11" t="s">
        <v>202</v>
      </c>
      <c r="G22" s="28">
        <v>9</v>
      </c>
      <c r="H22" s="28" t="e">
        <f>VLOOKUP(82,P6:Q10,2,TRUE)</f>
        <v>#N/A</v>
      </c>
    </row>
    <row r="23" spans="1:8" ht="57.6" x14ac:dyDescent="0.3">
      <c r="A23" s="11">
        <v>10</v>
      </c>
      <c r="B23" s="11" t="s">
        <v>212</v>
      </c>
      <c r="C23" s="15" t="s">
        <v>6</v>
      </c>
      <c r="D23" s="11" t="s">
        <v>213</v>
      </c>
      <c r="E23" s="11" t="str">
        <f>VLOOKUP(C2,$A$6:$B$10,2,TRUE)</f>
        <v>F</v>
      </c>
      <c r="F23" s="11" t="s">
        <v>202</v>
      </c>
      <c r="G23" s="28">
        <v>10</v>
      </c>
      <c r="H23" s="29" t="s">
        <v>519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70"/>
  <sheetViews>
    <sheetView showGridLines="0" workbookViewId="0">
      <pane ySplit="4" topLeftCell="A68" activePane="bottomLeft" state="frozen"/>
      <selection pane="bottomLeft" activeCell="H71" sqref="H71"/>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s>
  <sheetData>
    <row r="1" spans="1:8" ht="24" customHeight="1" x14ac:dyDescent="0.4">
      <c r="A1" s="1" t="s">
        <v>214</v>
      </c>
    </row>
    <row r="2" spans="1:8" x14ac:dyDescent="0.3">
      <c r="A2" s="2" t="s">
        <v>20</v>
      </c>
    </row>
    <row r="4" spans="1:8" ht="22.05" customHeight="1" x14ac:dyDescent="0.3">
      <c r="A4" s="7" t="s">
        <v>21</v>
      </c>
    </row>
    <row r="5" spans="1:8" x14ac:dyDescent="0.3">
      <c r="A5" s="8" t="s">
        <v>22</v>
      </c>
      <c r="B5" s="8" t="s">
        <v>23</v>
      </c>
      <c r="C5" s="8" t="s">
        <v>24</v>
      </c>
      <c r="D5" s="8" t="s">
        <v>25</v>
      </c>
      <c r="E5" s="8" t="s">
        <v>26</v>
      </c>
      <c r="F5" s="8" t="s">
        <v>27</v>
      </c>
      <c r="G5" s="8" t="s">
        <v>28</v>
      </c>
      <c r="H5" s="8" t="s">
        <v>29</v>
      </c>
    </row>
    <row r="6" spans="1:8" x14ac:dyDescent="0.3">
      <c r="A6" s="9" t="s">
        <v>30</v>
      </c>
      <c r="B6" s="9" t="s">
        <v>31</v>
      </c>
      <c r="C6" s="9" t="s">
        <v>32</v>
      </c>
      <c r="D6" s="9" t="s">
        <v>33</v>
      </c>
      <c r="E6" s="9">
        <v>45000</v>
      </c>
      <c r="F6" s="9">
        <v>2</v>
      </c>
      <c r="G6" s="9" t="s">
        <v>34</v>
      </c>
      <c r="H6" s="9">
        <v>25000</v>
      </c>
    </row>
    <row r="7" spans="1:8" x14ac:dyDescent="0.3">
      <c r="A7" s="9" t="s">
        <v>35</v>
      </c>
      <c r="B7" s="9" t="s">
        <v>36</v>
      </c>
      <c r="C7" s="9" t="s">
        <v>37</v>
      </c>
      <c r="D7" s="9" t="s">
        <v>38</v>
      </c>
      <c r="E7" s="9">
        <v>40000</v>
      </c>
      <c r="F7" s="9">
        <v>3</v>
      </c>
      <c r="G7" s="9" t="s">
        <v>39</v>
      </c>
      <c r="H7" s="9">
        <v>30000</v>
      </c>
    </row>
    <row r="8" spans="1:8" x14ac:dyDescent="0.3">
      <c r="A8" s="9" t="s">
        <v>40</v>
      </c>
      <c r="B8" s="9" t="s">
        <v>41</v>
      </c>
      <c r="C8" s="9" t="s">
        <v>32</v>
      </c>
      <c r="D8" s="9" t="s">
        <v>33</v>
      </c>
      <c r="E8" s="9">
        <v>50000</v>
      </c>
      <c r="F8" s="9">
        <v>4</v>
      </c>
      <c r="G8" s="9" t="s">
        <v>39</v>
      </c>
      <c r="H8" s="9">
        <v>42000</v>
      </c>
    </row>
    <row r="9" spans="1:8" x14ac:dyDescent="0.3">
      <c r="A9" s="9" t="s">
        <v>42</v>
      </c>
      <c r="B9" s="9" t="s">
        <v>43</v>
      </c>
      <c r="C9" s="9" t="s">
        <v>44</v>
      </c>
      <c r="D9" s="9" t="s">
        <v>45</v>
      </c>
      <c r="E9" s="9">
        <v>55000</v>
      </c>
      <c r="F9" s="9">
        <v>5</v>
      </c>
      <c r="G9" s="9" t="s">
        <v>34</v>
      </c>
      <c r="H9" s="9">
        <v>38000</v>
      </c>
    </row>
    <row r="10" spans="1:8" x14ac:dyDescent="0.3">
      <c r="A10" s="9" t="s">
        <v>46</v>
      </c>
      <c r="B10" s="9" t="s">
        <v>47</v>
      </c>
      <c r="C10" s="9" t="s">
        <v>48</v>
      </c>
      <c r="D10" s="9" t="s">
        <v>33</v>
      </c>
      <c r="E10" s="9">
        <v>38000</v>
      </c>
      <c r="F10" s="9">
        <v>1</v>
      </c>
      <c r="G10" s="9" t="s">
        <v>49</v>
      </c>
      <c r="H10" s="9">
        <v>22000</v>
      </c>
    </row>
    <row r="11" spans="1:8" x14ac:dyDescent="0.3">
      <c r="A11" s="9" t="s">
        <v>50</v>
      </c>
      <c r="B11" s="9" t="s">
        <v>51</v>
      </c>
      <c r="C11" s="9" t="s">
        <v>32</v>
      </c>
      <c r="D11" s="9" t="s">
        <v>52</v>
      </c>
      <c r="E11" s="9">
        <v>60000</v>
      </c>
      <c r="F11" s="9">
        <v>6</v>
      </c>
      <c r="G11" s="9" t="s">
        <v>39</v>
      </c>
      <c r="H11" s="9">
        <v>55000</v>
      </c>
    </row>
    <row r="12" spans="1:8" x14ac:dyDescent="0.3">
      <c r="A12" s="9" t="s">
        <v>53</v>
      </c>
      <c r="B12" s="9" t="s">
        <v>54</v>
      </c>
      <c r="C12" s="9" t="s">
        <v>37</v>
      </c>
      <c r="D12" s="9" t="s">
        <v>33</v>
      </c>
      <c r="E12" s="9">
        <v>42000</v>
      </c>
      <c r="F12" s="9">
        <v>2</v>
      </c>
      <c r="G12" s="9" t="s">
        <v>34</v>
      </c>
      <c r="H12" s="9">
        <v>28000</v>
      </c>
    </row>
    <row r="13" spans="1:8" x14ac:dyDescent="0.3">
      <c r="A13" s="9" t="s">
        <v>55</v>
      </c>
      <c r="B13" s="9" t="s">
        <v>56</v>
      </c>
      <c r="C13" s="9" t="s">
        <v>44</v>
      </c>
      <c r="D13" s="9" t="s">
        <v>38</v>
      </c>
      <c r="E13" s="9">
        <v>52000</v>
      </c>
      <c r="F13" s="9">
        <v>5</v>
      </c>
      <c r="G13" s="9" t="s">
        <v>39</v>
      </c>
      <c r="H13" s="9">
        <v>46000</v>
      </c>
    </row>
    <row r="14" spans="1:8" x14ac:dyDescent="0.3">
      <c r="A14" s="9" t="s">
        <v>57</v>
      </c>
      <c r="B14" s="9" t="s">
        <v>58</v>
      </c>
      <c r="C14" s="9" t="s">
        <v>48</v>
      </c>
      <c r="D14" s="9" t="s">
        <v>59</v>
      </c>
      <c r="E14" s="9">
        <v>39000</v>
      </c>
      <c r="F14" s="9">
        <v>2</v>
      </c>
      <c r="G14" s="9" t="s">
        <v>49</v>
      </c>
      <c r="H14" s="9">
        <v>24000</v>
      </c>
    </row>
    <row r="15" spans="1:8" x14ac:dyDescent="0.3">
      <c r="A15" s="9" t="s">
        <v>60</v>
      </c>
      <c r="B15" s="9" t="s">
        <v>61</v>
      </c>
      <c r="C15" s="9" t="s">
        <v>32</v>
      </c>
      <c r="D15" s="9" t="s">
        <v>62</v>
      </c>
      <c r="E15" s="9">
        <v>65000</v>
      </c>
      <c r="F15" s="9">
        <v>7</v>
      </c>
      <c r="G15" s="9" t="s">
        <v>39</v>
      </c>
      <c r="H15" s="9">
        <v>62000</v>
      </c>
    </row>
    <row r="16" spans="1:8"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10" t="s">
        <v>153</v>
      </c>
      <c r="G60" s="18" t="s">
        <v>520</v>
      </c>
      <c r="H60" s="18" t="s">
        <v>521</v>
      </c>
    </row>
    <row r="61" spans="1:8" ht="28.8" x14ac:dyDescent="0.3">
      <c r="A61" s="11">
        <v>1</v>
      </c>
      <c r="B61" s="11" t="s">
        <v>215</v>
      </c>
      <c r="C61" s="12" t="s">
        <v>3</v>
      </c>
      <c r="D61" s="11" t="s">
        <v>216</v>
      </c>
      <c r="E61" s="11" t="e">
        <f>HLOOKUP("E103",$A$6:$H$7,2,FALSE)</f>
        <v>#N/A</v>
      </c>
      <c r="F61" s="11" t="s">
        <v>217</v>
      </c>
      <c r="G61">
        <v>1</v>
      </c>
      <c r="H61" t="e">
        <f>HLOOKUP("E103",$A$6:$H$55,5,FALSE)</f>
        <v>#N/A</v>
      </c>
    </row>
    <row r="62" spans="1:8" ht="28.8" x14ac:dyDescent="0.3">
      <c r="A62" s="11">
        <v>2</v>
      </c>
      <c r="B62" s="11" t="s">
        <v>218</v>
      </c>
      <c r="C62" s="12" t="s">
        <v>3</v>
      </c>
      <c r="D62" s="11" t="s">
        <v>44</v>
      </c>
      <c r="E62" s="11"/>
      <c r="F62" s="11" t="s">
        <v>217</v>
      </c>
      <c r="G62">
        <v>2</v>
      </c>
      <c r="H62" t="e">
        <f>HLOOKUP("E104",A6:H55,3,FALSE)</f>
        <v>#N/A</v>
      </c>
    </row>
    <row r="63" spans="1:8" ht="28.8" x14ac:dyDescent="0.3">
      <c r="A63" s="11">
        <v>3</v>
      </c>
      <c r="B63" s="11" t="s">
        <v>219</v>
      </c>
      <c r="C63" s="12" t="s">
        <v>3</v>
      </c>
      <c r="D63" s="11" t="s">
        <v>47</v>
      </c>
      <c r="E63" s="11" t="e">
        <f>HLOOKUP("E105",$A$6:$H$7,2,FALSE)</f>
        <v>#N/A</v>
      </c>
      <c r="F63" s="11" t="s">
        <v>217</v>
      </c>
      <c r="G63">
        <v>3</v>
      </c>
      <c r="H63" t="e">
        <f>HLOOKUP("E105",A6:H7,2,FALSE)</f>
        <v>#N/A</v>
      </c>
    </row>
    <row r="64" spans="1:8" ht="28.8" x14ac:dyDescent="0.3">
      <c r="A64" s="11">
        <v>4</v>
      </c>
      <c r="B64" s="11" t="s">
        <v>220</v>
      </c>
      <c r="C64" s="13" t="s">
        <v>4</v>
      </c>
      <c r="D64" s="11" t="s">
        <v>38</v>
      </c>
      <c r="E64" s="11" t="e">
        <f>HLOOKUP("E102",$A$6:$H$7,4,FALSE)</f>
        <v>#N/A</v>
      </c>
      <c r="F64" s="11" t="s">
        <v>217</v>
      </c>
      <c r="G64">
        <v>4</v>
      </c>
      <c r="H64" t="e">
        <f>HLOOKUP("E102",A6:H7,4,FALSE)</f>
        <v>#N/A</v>
      </c>
    </row>
    <row r="65" spans="1:8" ht="28.8" x14ac:dyDescent="0.3">
      <c r="A65" s="11">
        <v>5</v>
      </c>
      <c r="B65" s="11" t="s">
        <v>221</v>
      </c>
      <c r="C65" s="13" t="s">
        <v>4</v>
      </c>
      <c r="D65" s="11" t="s">
        <v>39</v>
      </c>
      <c r="E65" s="11" t="e">
        <f>HLOOKUP("E106",$A$6:$H$7,7,FALSE)</f>
        <v>#N/A</v>
      </c>
      <c r="F65" s="11" t="s">
        <v>217</v>
      </c>
      <c r="G65">
        <v>5</v>
      </c>
      <c r="H65" t="e">
        <f>HLOOKUP("E106",A6:H7,7,FALSE)</f>
        <v>#N/A</v>
      </c>
    </row>
    <row r="66" spans="1:8" ht="28.8" x14ac:dyDescent="0.3">
      <c r="A66" s="11">
        <v>6</v>
      </c>
      <c r="B66" s="11" t="s">
        <v>222</v>
      </c>
      <c r="C66" s="13" t="s">
        <v>4</v>
      </c>
      <c r="D66" s="11" t="e">
        <v>#N/A</v>
      </c>
      <c r="E66" s="11" t="str">
        <f>IFERROR(HLOOKUP("E999",$A$6:$H$7,2,FALSE),"Employee Not Found")</f>
        <v>Employee Not Found</v>
      </c>
      <c r="F66" s="11" t="s">
        <v>217</v>
      </c>
      <c r="G66">
        <v>6</v>
      </c>
      <c r="H66" t="str">
        <f>IFERROR(HLOOKUP("E999",A6:H7,2,FALSE),"Employee Not Found")</f>
        <v>Employee Not Found</v>
      </c>
    </row>
    <row r="67" spans="1:8" ht="28.8" x14ac:dyDescent="0.3">
      <c r="A67" s="11">
        <v>7</v>
      </c>
      <c r="B67" s="11" t="s">
        <v>223</v>
      </c>
      <c r="C67" s="14" t="s">
        <v>5</v>
      </c>
      <c r="D67" s="11" t="s">
        <v>224</v>
      </c>
      <c r="E67" s="11" t="e">
        <f>IF(HLOOKUP("E106",$A$6:$H$7,5,FALSE)&gt;50000,"Promotable","Not Yet")</f>
        <v>#N/A</v>
      </c>
      <c r="F67" s="11" t="s">
        <v>217</v>
      </c>
      <c r="G67">
        <v>7</v>
      </c>
      <c r="H67" t="e">
        <f>IF(HLOOKUP("E106",A6:H7,5,FALSE)&gt;50000,"Promotable","Not Yet")</f>
        <v>#N/A</v>
      </c>
    </row>
    <row r="68" spans="1:8" ht="28.8" x14ac:dyDescent="0.3">
      <c r="A68" s="11">
        <v>8</v>
      </c>
      <c r="B68" s="11" t="s">
        <v>225</v>
      </c>
      <c r="C68" s="14" t="s">
        <v>5</v>
      </c>
      <c r="D68" s="11" t="s">
        <v>163</v>
      </c>
      <c r="E68" s="11" t="str">
        <f>IFERROR(HLOOKUP("E105",$A$6:$H$7,4,FALSE),"Employee Not Found")</f>
        <v>Employee Not Found</v>
      </c>
      <c r="F68" s="11" t="s">
        <v>217</v>
      </c>
      <c r="G68">
        <v>8</v>
      </c>
      <c r="H68" t="str">
        <f>IFERROR(HLOOKUP("E105",A6:H7,4,FALSE),"Employee Not Found")</f>
        <v>Employee Not Found</v>
      </c>
    </row>
    <row r="69" spans="1:8" ht="28.8" x14ac:dyDescent="0.3">
      <c r="A69" s="11">
        <v>9</v>
      </c>
      <c r="B69" s="11" t="s">
        <v>226</v>
      </c>
      <c r="C69" s="14" t="s">
        <v>5</v>
      </c>
      <c r="D69" s="11" t="s">
        <v>227</v>
      </c>
      <c r="E69" s="11" t="e">
        <f>HLOOKUP("E110",$A$6:$H$7,8,FALSE)</f>
        <v>#N/A</v>
      </c>
      <c r="F69" s="11" t="s">
        <v>217</v>
      </c>
      <c r="G69">
        <v>9</v>
      </c>
      <c r="H69" t="e">
        <f>HLOOKUP("E110",A6:H7,8,FALSE)</f>
        <v>#N/A</v>
      </c>
    </row>
    <row r="70" spans="1:8" ht="43.2" x14ac:dyDescent="0.3">
      <c r="A70" s="11">
        <v>10</v>
      </c>
      <c r="B70" s="11" t="s">
        <v>228</v>
      </c>
      <c r="C70" s="15" t="s">
        <v>6</v>
      </c>
      <c r="D70" s="11" t="s">
        <v>229</v>
      </c>
      <c r="E70" s="11" t="e">
        <f>HLOOKUP(I2,$A$6:$H$7,2,FALSE)</f>
        <v>#N/A</v>
      </c>
      <c r="F70" s="11" t="s">
        <v>217</v>
      </c>
      <c r="G70">
        <v>10</v>
      </c>
      <c r="H70" t="e">
        <f>HLOOKUP(I2,A6:H7,2,FALSE)</f>
        <v>#N/A</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showGridLines="0" topLeftCell="C1" workbookViewId="0">
      <pane ySplit="4" topLeftCell="A67" activePane="bottomLeft" state="frozen"/>
      <selection pane="bottomLeft" activeCell="H70" sqref="H7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 min="9" max="9" width="17.33203125" customWidth="1"/>
    <col min="10" max="10" width="11.77734375" customWidth="1"/>
  </cols>
  <sheetData>
    <row r="1" spans="1:10" ht="24" customHeight="1" x14ac:dyDescent="0.4">
      <c r="A1" s="1" t="s">
        <v>230</v>
      </c>
    </row>
    <row r="2" spans="1:10" x14ac:dyDescent="0.3">
      <c r="A2" s="2" t="s">
        <v>20</v>
      </c>
    </row>
    <row r="4" spans="1:10" ht="22.05" customHeight="1" x14ac:dyDescent="0.3">
      <c r="A4" s="7" t="s">
        <v>21</v>
      </c>
    </row>
    <row r="5" spans="1:10" x14ac:dyDescent="0.3">
      <c r="A5" s="8" t="s">
        <v>22</v>
      </c>
      <c r="B5" s="8" t="s">
        <v>23</v>
      </c>
      <c r="C5" s="8" t="s">
        <v>24</v>
      </c>
      <c r="D5" s="8" t="s">
        <v>25</v>
      </c>
      <c r="E5" s="8" t="s">
        <v>26</v>
      </c>
      <c r="F5" s="8" t="s">
        <v>27</v>
      </c>
      <c r="G5" s="8" t="s">
        <v>28</v>
      </c>
      <c r="H5" s="31" t="s">
        <v>29</v>
      </c>
      <c r="I5" s="25" t="s">
        <v>522</v>
      </c>
      <c r="J5" s="33">
        <v>7</v>
      </c>
    </row>
    <row r="6" spans="1:10" x14ac:dyDescent="0.3">
      <c r="A6" s="9" t="s">
        <v>30</v>
      </c>
      <c r="B6" s="9" t="s">
        <v>31</v>
      </c>
      <c r="C6" s="9" t="s">
        <v>32</v>
      </c>
      <c r="D6" s="9" t="s">
        <v>33</v>
      </c>
      <c r="E6" s="9">
        <v>45000</v>
      </c>
      <c r="F6" s="9">
        <v>2</v>
      </c>
      <c r="G6" s="9" t="s">
        <v>34</v>
      </c>
      <c r="H6" s="32">
        <v>25000</v>
      </c>
      <c r="I6" s="23" t="s">
        <v>523</v>
      </c>
      <c r="J6" s="23">
        <v>2</v>
      </c>
    </row>
    <row r="7" spans="1:10" x14ac:dyDescent="0.3">
      <c r="A7" s="9" t="s">
        <v>35</v>
      </c>
      <c r="B7" s="9" t="s">
        <v>36</v>
      </c>
      <c r="C7" s="9" t="s">
        <v>37</v>
      </c>
      <c r="D7" s="9" t="s">
        <v>38</v>
      </c>
      <c r="E7" s="9">
        <v>40000</v>
      </c>
      <c r="F7" s="9">
        <v>3</v>
      </c>
      <c r="G7" s="9" t="s">
        <v>39</v>
      </c>
      <c r="H7" s="32">
        <v>30000</v>
      </c>
      <c r="I7" s="23"/>
      <c r="J7" s="23"/>
    </row>
    <row r="8" spans="1:10" x14ac:dyDescent="0.3">
      <c r="A8" s="9" t="s">
        <v>40</v>
      </c>
      <c r="B8" s="9" t="s">
        <v>41</v>
      </c>
      <c r="C8" s="9" t="s">
        <v>32</v>
      </c>
      <c r="D8" s="9" t="s">
        <v>33</v>
      </c>
      <c r="E8" s="9">
        <v>50000</v>
      </c>
      <c r="F8" s="9">
        <v>4</v>
      </c>
      <c r="G8" s="9" t="s">
        <v>39</v>
      </c>
      <c r="H8" s="32">
        <v>42000</v>
      </c>
      <c r="I8" s="23"/>
      <c r="J8" s="23" t="str" cm="1">
        <f t="array" ref="J8">INDEX(A6:H55,J5,J6)</f>
        <v>Neha Gupta</v>
      </c>
    </row>
    <row r="9" spans="1:10" x14ac:dyDescent="0.3">
      <c r="A9" s="9" t="s">
        <v>42</v>
      </c>
      <c r="B9" s="9" t="s">
        <v>43</v>
      </c>
      <c r="C9" s="9" t="s">
        <v>44</v>
      </c>
      <c r="D9" s="9" t="s">
        <v>45</v>
      </c>
      <c r="E9" s="9">
        <v>55000</v>
      </c>
      <c r="F9" s="9">
        <v>5</v>
      </c>
      <c r="G9" s="9" t="s">
        <v>34</v>
      </c>
      <c r="H9" s="9">
        <v>38000</v>
      </c>
    </row>
    <row r="10" spans="1:10" x14ac:dyDescent="0.3">
      <c r="A10" s="9" t="s">
        <v>46</v>
      </c>
      <c r="B10" s="9" t="s">
        <v>47</v>
      </c>
      <c r="C10" s="9" t="s">
        <v>48</v>
      </c>
      <c r="D10" s="9" t="s">
        <v>33</v>
      </c>
      <c r="E10" s="9">
        <v>38000</v>
      </c>
      <c r="F10" s="9">
        <v>1</v>
      </c>
      <c r="G10" s="9" t="s">
        <v>49</v>
      </c>
      <c r="H10" s="9">
        <v>22000</v>
      </c>
    </row>
    <row r="11" spans="1:10" x14ac:dyDescent="0.3">
      <c r="A11" s="9" t="s">
        <v>50</v>
      </c>
      <c r="B11" s="9" t="s">
        <v>51</v>
      </c>
      <c r="C11" s="9" t="s">
        <v>32</v>
      </c>
      <c r="D11" s="9" t="s">
        <v>52</v>
      </c>
      <c r="E11" s="9">
        <v>60000</v>
      </c>
      <c r="F11" s="9">
        <v>6</v>
      </c>
      <c r="G11" s="9" t="s">
        <v>39</v>
      </c>
      <c r="H11" s="9">
        <v>55000</v>
      </c>
    </row>
    <row r="12" spans="1:10" x14ac:dyDescent="0.3">
      <c r="A12" s="9" t="s">
        <v>53</v>
      </c>
      <c r="B12" s="9" t="s">
        <v>54</v>
      </c>
      <c r="C12" s="9" t="s">
        <v>37</v>
      </c>
      <c r="D12" s="9" t="s">
        <v>33</v>
      </c>
      <c r="E12" s="9">
        <v>42000</v>
      </c>
      <c r="F12" s="9">
        <v>2</v>
      </c>
      <c r="G12" s="9" t="s">
        <v>34</v>
      </c>
      <c r="H12" s="9">
        <v>28000</v>
      </c>
    </row>
    <row r="13" spans="1:10" x14ac:dyDescent="0.3">
      <c r="A13" s="9" t="s">
        <v>55</v>
      </c>
      <c r="B13" s="9" t="s">
        <v>56</v>
      </c>
      <c r="C13" s="9" t="s">
        <v>44</v>
      </c>
      <c r="D13" s="9" t="s">
        <v>38</v>
      </c>
      <c r="E13" s="9">
        <v>52000</v>
      </c>
      <c r="F13" s="9">
        <v>5</v>
      </c>
      <c r="G13" s="9" t="s">
        <v>39</v>
      </c>
      <c r="H13" s="9">
        <v>46000</v>
      </c>
    </row>
    <row r="14" spans="1:10" x14ac:dyDescent="0.3">
      <c r="A14" s="9" t="s">
        <v>57</v>
      </c>
      <c r="B14" s="9" t="s">
        <v>58</v>
      </c>
      <c r="C14" s="9" t="s">
        <v>48</v>
      </c>
      <c r="D14" s="9" t="s">
        <v>59</v>
      </c>
      <c r="E14" s="9">
        <v>39000</v>
      </c>
      <c r="F14" s="9">
        <v>2</v>
      </c>
      <c r="G14" s="9" t="s">
        <v>49</v>
      </c>
      <c r="H14" s="9">
        <v>24000</v>
      </c>
    </row>
    <row r="15" spans="1:10" x14ac:dyDescent="0.3">
      <c r="A15" s="9" t="s">
        <v>60</v>
      </c>
      <c r="B15" s="9" t="s">
        <v>61</v>
      </c>
      <c r="C15" s="9" t="s">
        <v>32</v>
      </c>
      <c r="D15" s="9" t="s">
        <v>62</v>
      </c>
      <c r="E15" s="9">
        <v>65000</v>
      </c>
      <c r="F15" s="9">
        <v>7</v>
      </c>
      <c r="G15" s="9" t="s">
        <v>39</v>
      </c>
      <c r="H15" s="9">
        <v>62000</v>
      </c>
    </row>
    <row r="16" spans="1:10"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21" t="s">
        <v>153</v>
      </c>
      <c r="G60" s="25" t="s">
        <v>515</v>
      </c>
      <c r="H60" s="25" t="s">
        <v>516</v>
      </c>
    </row>
    <row r="61" spans="1:8" ht="28.8" x14ac:dyDescent="0.3">
      <c r="A61" s="11">
        <v>1</v>
      </c>
      <c r="B61" s="11" t="s">
        <v>231</v>
      </c>
      <c r="C61" s="12" t="s">
        <v>3</v>
      </c>
      <c r="D61" s="11" t="s">
        <v>41</v>
      </c>
      <c r="E61" s="11" t="str">
        <f>INDEX($A$6:$H$55,3,2)</f>
        <v>Kabir Mehta</v>
      </c>
      <c r="F61" s="22" t="s">
        <v>232</v>
      </c>
      <c r="G61" s="23">
        <v>1</v>
      </c>
      <c r="H61" s="23" t="str">
        <f>INDEX(A6:H55,3,2)</f>
        <v>Kabir Mehta</v>
      </c>
    </row>
    <row r="62" spans="1:8" ht="28.8" x14ac:dyDescent="0.3">
      <c r="A62" s="11">
        <v>2</v>
      </c>
      <c r="B62" s="11" t="s">
        <v>233</v>
      </c>
      <c r="C62" s="12" t="s">
        <v>3</v>
      </c>
      <c r="D62" s="11" t="s">
        <v>33</v>
      </c>
      <c r="E62" s="11" t="str">
        <f>INDEX($A$6:$H$55,5,4)</f>
        <v>Delhi</v>
      </c>
      <c r="F62" s="22" t="s">
        <v>232</v>
      </c>
      <c r="G62" s="23">
        <v>2</v>
      </c>
      <c r="H62" s="23" t="str">
        <f>INDEX(A6:H55,5,4)</f>
        <v>Delhi</v>
      </c>
    </row>
    <row r="63" spans="1:8" ht="28.8" x14ac:dyDescent="0.3">
      <c r="A63" s="11">
        <v>3</v>
      </c>
      <c r="B63" s="11" t="s">
        <v>234</v>
      </c>
      <c r="C63" s="12" t="s">
        <v>3</v>
      </c>
      <c r="D63" s="11" t="s">
        <v>235</v>
      </c>
      <c r="E63" s="11">
        <f>INDEX($A$6:$H$55,2,5)</f>
        <v>40000</v>
      </c>
      <c r="F63" s="22" t="s">
        <v>232</v>
      </c>
      <c r="G63" s="23">
        <v>3</v>
      </c>
      <c r="H63" s="23">
        <f>INDEX(A6:H55,2,5)</f>
        <v>40000</v>
      </c>
    </row>
    <row r="64" spans="1:8" ht="28.8" x14ac:dyDescent="0.3">
      <c r="A64" s="11">
        <v>4</v>
      </c>
      <c r="B64" s="11" t="s">
        <v>236</v>
      </c>
      <c r="C64" s="13" t="s">
        <v>4</v>
      </c>
      <c r="D64" s="11" t="s">
        <v>34</v>
      </c>
      <c r="E64" s="11" t="str">
        <f>INDEX($A$6:$H$55,1,7)</f>
        <v>Good</v>
      </c>
      <c r="F64" s="22" t="s">
        <v>232</v>
      </c>
      <c r="G64" s="23">
        <v>4</v>
      </c>
      <c r="H64" s="23" t="str">
        <f>INDEX(A6:H55,1,7)</f>
        <v>Good</v>
      </c>
    </row>
    <row r="65" spans="1:8" ht="28.8" x14ac:dyDescent="0.3">
      <c r="A65" s="11">
        <v>5</v>
      </c>
      <c r="B65" s="11" t="s">
        <v>237</v>
      </c>
      <c r="C65" s="13" t="s">
        <v>4</v>
      </c>
      <c r="D65" s="11" t="s">
        <v>44</v>
      </c>
      <c r="E65" s="11" t="str">
        <f>INDEX($A$6:$H$55,4,3)</f>
        <v>Finance</v>
      </c>
      <c r="F65" s="22" t="s">
        <v>232</v>
      </c>
      <c r="G65" s="23">
        <v>5</v>
      </c>
      <c r="H65" s="23" t="str">
        <f>INDEX(A6:H55,4,3)</f>
        <v>Finance</v>
      </c>
    </row>
    <row r="66" spans="1:8" ht="28.8" x14ac:dyDescent="0.3">
      <c r="A66" s="11">
        <v>6</v>
      </c>
      <c r="B66" s="11" t="s">
        <v>238</v>
      </c>
      <c r="C66" s="13" t="s">
        <v>4</v>
      </c>
      <c r="D66" s="11" t="s">
        <v>161</v>
      </c>
      <c r="E66" s="11">
        <f>INDEX($A$6:$H$55,6,8)</f>
        <v>55000</v>
      </c>
      <c r="F66" s="22" t="s">
        <v>232</v>
      </c>
      <c r="G66" s="23">
        <v>6</v>
      </c>
      <c r="H66" s="23">
        <f>INDEX(A6:H55,6,8)</f>
        <v>55000</v>
      </c>
    </row>
    <row r="67" spans="1:8" ht="28.8" x14ac:dyDescent="0.3">
      <c r="A67" s="11">
        <v>7</v>
      </c>
      <c r="B67" s="11" t="s">
        <v>239</v>
      </c>
      <c r="C67" s="14" t="s">
        <v>5</v>
      </c>
      <c r="D67" s="11" t="s">
        <v>62</v>
      </c>
      <c r="E67" s="11" t="str">
        <f>INDEX($A$6:$H$55,10,4)</f>
        <v>Pune</v>
      </c>
      <c r="F67" s="22" t="s">
        <v>232</v>
      </c>
      <c r="G67" s="23">
        <v>7</v>
      </c>
      <c r="H67" s="23" t="str">
        <f>INDEX(A6:H55,10,4)</f>
        <v>Pune</v>
      </c>
    </row>
    <row r="68" spans="1:8" ht="28.8" x14ac:dyDescent="0.3">
      <c r="A68" s="11">
        <v>8</v>
      </c>
      <c r="B68" s="11" t="s">
        <v>240</v>
      </c>
      <c r="C68" s="14" t="s">
        <v>5</v>
      </c>
      <c r="D68" s="11" t="s">
        <v>54</v>
      </c>
      <c r="E68" s="11" t="str">
        <f>INDEX($A$6:$H$55,7,2)</f>
        <v>Neha Gupta</v>
      </c>
      <c r="F68" s="22" t="s">
        <v>232</v>
      </c>
      <c r="G68" s="23">
        <v>8</v>
      </c>
      <c r="H68" s="23" t="str">
        <f>INDEX(A6:H55,7,2)</f>
        <v>Neha Gupta</v>
      </c>
    </row>
    <row r="69" spans="1:8" ht="28.8" x14ac:dyDescent="0.3">
      <c r="A69" s="11">
        <v>9</v>
      </c>
      <c r="B69" s="11" t="s">
        <v>241</v>
      </c>
      <c r="C69" s="14" t="s">
        <v>5</v>
      </c>
      <c r="D69" s="11" t="s">
        <v>242</v>
      </c>
      <c r="E69" s="11">
        <f>INDEX($A$6:$H$55,8,5)</f>
        <v>52000</v>
      </c>
      <c r="F69" s="22" t="s">
        <v>232</v>
      </c>
      <c r="G69" s="23">
        <v>9</v>
      </c>
      <c r="H69" s="23">
        <f>INDEX(A6:H55, 8,5)</f>
        <v>52000</v>
      </c>
    </row>
    <row r="70" spans="1:8" ht="86.4" x14ac:dyDescent="0.3">
      <c r="A70" s="11">
        <v>10</v>
      </c>
      <c r="B70" s="11" t="s">
        <v>243</v>
      </c>
      <c r="C70" s="15" t="s">
        <v>6</v>
      </c>
      <c r="D70" s="11" t="s">
        <v>244</v>
      </c>
      <c r="E70" s="11" t="e">
        <f>INDEX($A$6:$H$55,I2,I3)</f>
        <v>#VALUE!</v>
      </c>
      <c r="F70" s="22" t="s">
        <v>232</v>
      </c>
      <c r="G70" s="23">
        <v>10</v>
      </c>
      <c r="H70" s="24" t="s">
        <v>524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70"/>
  <sheetViews>
    <sheetView showGridLines="0" topLeftCell="B1" workbookViewId="0">
      <pane ySplit="4" topLeftCell="A62" activePane="bottomLeft" state="frozen"/>
      <selection pane="bottomLeft" activeCell="H70" sqref="H7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 min="9" max="9" width="12.5546875" customWidth="1"/>
  </cols>
  <sheetData>
    <row r="1" spans="1:10" ht="24" customHeight="1" x14ac:dyDescent="0.4">
      <c r="A1" s="1" t="s">
        <v>245</v>
      </c>
    </row>
    <row r="2" spans="1:10" x14ac:dyDescent="0.3">
      <c r="A2" s="2" t="s">
        <v>20</v>
      </c>
    </row>
    <row r="4" spans="1:10" ht="22.05" customHeight="1" x14ac:dyDescent="0.3">
      <c r="A4" s="7" t="s">
        <v>21</v>
      </c>
    </row>
    <row r="5" spans="1:10" x14ac:dyDescent="0.3">
      <c r="A5" s="8" t="s">
        <v>22</v>
      </c>
      <c r="B5" s="8" t="s">
        <v>23</v>
      </c>
      <c r="C5" s="8" t="s">
        <v>24</v>
      </c>
      <c r="D5" s="8" t="s">
        <v>25</v>
      </c>
      <c r="E5" s="8" t="s">
        <v>26</v>
      </c>
      <c r="F5" s="8" t="s">
        <v>27</v>
      </c>
      <c r="G5" s="8" t="s">
        <v>28</v>
      </c>
      <c r="H5" s="8" t="s">
        <v>29</v>
      </c>
      <c r="I5" s="34" t="s">
        <v>22</v>
      </c>
      <c r="J5" s="34" t="s">
        <v>40</v>
      </c>
    </row>
    <row r="6" spans="1:10" x14ac:dyDescent="0.3">
      <c r="A6" s="9" t="s">
        <v>30</v>
      </c>
      <c r="B6" s="9" t="s">
        <v>31</v>
      </c>
      <c r="C6" s="9" t="s">
        <v>32</v>
      </c>
      <c r="D6" s="9" t="s">
        <v>33</v>
      </c>
      <c r="E6" s="9">
        <v>45000</v>
      </c>
      <c r="F6" s="9">
        <v>2</v>
      </c>
      <c r="G6" s="9" t="s">
        <v>34</v>
      </c>
      <c r="H6" s="9">
        <v>25000</v>
      </c>
      <c r="I6" s="28"/>
      <c r="J6" s="28"/>
    </row>
    <row r="7" spans="1:10" x14ac:dyDescent="0.3">
      <c r="A7" s="9" t="s">
        <v>35</v>
      </c>
      <c r="B7" s="9" t="s">
        <v>36</v>
      </c>
      <c r="C7" s="9" t="s">
        <v>37</v>
      </c>
      <c r="D7" s="9" t="s">
        <v>38</v>
      </c>
      <c r="E7" s="9">
        <v>40000</v>
      </c>
      <c r="F7" s="9">
        <v>3</v>
      </c>
      <c r="G7" s="9" t="s">
        <v>39</v>
      </c>
      <c r="H7" s="9">
        <v>30000</v>
      </c>
      <c r="I7" s="28"/>
      <c r="J7" s="28">
        <f>MATCH(J5,A6:A55,0)</f>
        <v>3</v>
      </c>
    </row>
    <row r="8" spans="1:10" x14ac:dyDescent="0.3">
      <c r="A8" s="9" t="s">
        <v>40</v>
      </c>
      <c r="B8" s="9" t="s">
        <v>41</v>
      </c>
      <c r="C8" s="9" t="s">
        <v>32</v>
      </c>
      <c r="D8" s="9" t="s">
        <v>33</v>
      </c>
      <c r="E8" s="9">
        <v>50000</v>
      </c>
      <c r="F8" s="9">
        <v>4</v>
      </c>
      <c r="G8" s="9" t="s">
        <v>39</v>
      </c>
      <c r="H8" s="9">
        <v>42000</v>
      </c>
    </row>
    <row r="9" spans="1:10" x14ac:dyDescent="0.3">
      <c r="A9" s="9" t="s">
        <v>42</v>
      </c>
      <c r="B9" s="9" t="s">
        <v>43</v>
      </c>
      <c r="C9" s="9" t="s">
        <v>44</v>
      </c>
      <c r="D9" s="9" t="s">
        <v>45</v>
      </c>
      <c r="E9" s="9">
        <v>55000</v>
      </c>
      <c r="F9" s="9">
        <v>5</v>
      </c>
      <c r="G9" s="9" t="s">
        <v>34</v>
      </c>
      <c r="H9" s="9">
        <v>38000</v>
      </c>
    </row>
    <row r="10" spans="1:10" x14ac:dyDescent="0.3">
      <c r="A10" s="9" t="s">
        <v>46</v>
      </c>
      <c r="B10" s="9" t="s">
        <v>47</v>
      </c>
      <c r="C10" s="9" t="s">
        <v>48</v>
      </c>
      <c r="D10" s="9" t="s">
        <v>33</v>
      </c>
      <c r="E10" s="9">
        <v>38000</v>
      </c>
      <c r="F10" s="9">
        <v>1</v>
      </c>
      <c r="G10" s="9" t="s">
        <v>49</v>
      </c>
      <c r="H10" s="9">
        <v>22000</v>
      </c>
    </row>
    <row r="11" spans="1:10" x14ac:dyDescent="0.3">
      <c r="A11" s="9" t="s">
        <v>50</v>
      </c>
      <c r="B11" s="9" t="s">
        <v>51</v>
      </c>
      <c r="C11" s="9" t="s">
        <v>32</v>
      </c>
      <c r="D11" s="9" t="s">
        <v>52</v>
      </c>
      <c r="E11" s="9">
        <v>60000</v>
      </c>
      <c r="F11" s="9">
        <v>6</v>
      </c>
      <c r="G11" s="9" t="s">
        <v>39</v>
      </c>
      <c r="H11" s="9">
        <v>55000</v>
      </c>
    </row>
    <row r="12" spans="1:10" x14ac:dyDescent="0.3">
      <c r="A12" s="9" t="s">
        <v>53</v>
      </c>
      <c r="B12" s="9" t="s">
        <v>54</v>
      </c>
      <c r="C12" s="9" t="s">
        <v>37</v>
      </c>
      <c r="D12" s="9" t="s">
        <v>33</v>
      </c>
      <c r="E12" s="9">
        <v>42000</v>
      </c>
      <c r="F12" s="9">
        <v>2</v>
      </c>
      <c r="G12" s="9" t="s">
        <v>34</v>
      </c>
      <c r="H12" s="9">
        <v>28000</v>
      </c>
    </row>
    <row r="13" spans="1:10" x14ac:dyDescent="0.3">
      <c r="A13" s="9" t="s">
        <v>55</v>
      </c>
      <c r="B13" s="9" t="s">
        <v>56</v>
      </c>
      <c r="C13" s="9" t="s">
        <v>44</v>
      </c>
      <c r="D13" s="9" t="s">
        <v>38</v>
      </c>
      <c r="E13" s="9">
        <v>52000</v>
      </c>
      <c r="F13" s="9">
        <v>5</v>
      </c>
      <c r="G13" s="9" t="s">
        <v>39</v>
      </c>
      <c r="H13" s="9">
        <v>46000</v>
      </c>
    </row>
    <row r="14" spans="1:10" x14ac:dyDescent="0.3">
      <c r="A14" s="9" t="s">
        <v>57</v>
      </c>
      <c r="B14" s="9" t="s">
        <v>58</v>
      </c>
      <c r="C14" s="9" t="s">
        <v>48</v>
      </c>
      <c r="D14" s="9" t="s">
        <v>59</v>
      </c>
      <c r="E14" s="9">
        <v>39000</v>
      </c>
      <c r="F14" s="9">
        <v>2</v>
      </c>
      <c r="G14" s="9" t="s">
        <v>49</v>
      </c>
      <c r="H14" s="9">
        <v>24000</v>
      </c>
    </row>
    <row r="15" spans="1:10" x14ac:dyDescent="0.3">
      <c r="A15" s="9" t="s">
        <v>60</v>
      </c>
      <c r="B15" s="9" t="s">
        <v>61</v>
      </c>
      <c r="C15" s="9" t="s">
        <v>32</v>
      </c>
      <c r="D15" s="9" t="s">
        <v>62</v>
      </c>
      <c r="E15" s="9">
        <v>65000</v>
      </c>
      <c r="F15" s="9">
        <v>7</v>
      </c>
      <c r="G15" s="9" t="s">
        <v>39</v>
      </c>
      <c r="H15" s="9">
        <v>62000</v>
      </c>
    </row>
    <row r="16" spans="1:10"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21" t="s">
        <v>153</v>
      </c>
      <c r="G60" s="25" t="s">
        <v>515</v>
      </c>
      <c r="H60" s="25" t="s">
        <v>516</v>
      </c>
    </row>
    <row r="61" spans="1:8" ht="28.8" x14ac:dyDescent="0.3">
      <c r="A61" s="11">
        <v>1</v>
      </c>
      <c r="B61" s="11" t="s">
        <v>246</v>
      </c>
      <c r="C61" s="12" t="s">
        <v>3</v>
      </c>
      <c r="D61" s="11" t="s">
        <v>247</v>
      </c>
      <c r="E61" s="11">
        <f>MATCH("E103",$A$6:$A$55,0)</f>
        <v>3</v>
      </c>
      <c r="F61" s="22" t="s">
        <v>248</v>
      </c>
      <c r="G61" s="23">
        <v>1</v>
      </c>
      <c r="H61" s="23">
        <f>MATCH("E103",A6:$A55,0)</f>
        <v>3</v>
      </c>
    </row>
    <row r="62" spans="1:8" ht="28.8" x14ac:dyDescent="0.3">
      <c r="A62" s="11">
        <v>2</v>
      </c>
      <c r="B62" s="11" t="s">
        <v>249</v>
      </c>
      <c r="C62" s="12" t="s">
        <v>3</v>
      </c>
      <c r="D62" s="11" t="s">
        <v>250</v>
      </c>
      <c r="E62" s="11">
        <f>MATCH("E105",$A$6:$A$55,0)</f>
        <v>5</v>
      </c>
      <c r="F62" s="22" t="s">
        <v>248</v>
      </c>
      <c r="G62" s="23">
        <v>2</v>
      </c>
      <c r="H62" s="23">
        <f>MATCH("E105",A6:A55,0)</f>
        <v>5</v>
      </c>
    </row>
    <row r="63" spans="1:8" ht="28.8" x14ac:dyDescent="0.3">
      <c r="A63" s="11">
        <v>3</v>
      </c>
      <c r="B63" s="11" t="s">
        <v>251</v>
      </c>
      <c r="C63" s="12" t="s">
        <v>3</v>
      </c>
      <c r="D63" s="11" t="s">
        <v>252</v>
      </c>
      <c r="E63" s="11">
        <f>MATCH("E110",$A$6:$A$55,0)</f>
        <v>10</v>
      </c>
      <c r="F63" s="22" t="s">
        <v>248</v>
      </c>
      <c r="G63" s="23">
        <v>3</v>
      </c>
      <c r="H63" s="23">
        <f>MATCH("E110",A6:A55,0)</f>
        <v>10</v>
      </c>
    </row>
    <row r="64" spans="1:8" ht="28.8" x14ac:dyDescent="0.3">
      <c r="A64" s="11">
        <v>4</v>
      </c>
      <c r="B64" s="11" t="s">
        <v>253</v>
      </c>
      <c r="C64" s="13" t="s">
        <v>4</v>
      </c>
      <c r="D64" s="11" t="s">
        <v>247</v>
      </c>
      <c r="E64" s="11">
        <f>MATCH("Kabir Mehta",$B$6:$B$55,0)</f>
        <v>3</v>
      </c>
      <c r="F64" s="22" t="s">
        <v>248</v>
      </c>
      <c r="G64" s="23">
        <v>4</v>
      </c>
      <c r="H64" s="23">
        <f>MATCH("Kabir Mehta",B6:B55,0)</f>
        <v>3</v>
      </c>
    </row>
    <row r="65" spans="1:8" ht="28.8" x14ac:dyDescent="0.3">
      <c r="A65" s="11">
        <v>5</v>
      </c>
      <c r="B65" s="11" t="s">
        <v>254</v>
      </c>
      <c r="C65" s="13" t="s">
        <v>4</v>
      </c>
      <c r="D65" s="11" t="s">
        <v>255</v>
      </c>
      <c r="E65" s="11">
        <f>MATCH("Finance",$C$6:$C$55,0)</f>
        <v>4</v>
      </c>
      <c r="F65" s="22" t="s">
        <v>248</v>
      </c>
      <c r="G65" s="23">
        <v>5</v>
      </c>
      <c r="H65" s="23">
        <f>MATCH("Finance",C6:C55,0)</f>
        <v>4</v>
      </c>
    </row>
    <row r="66" spans="1:8" ht="28.8" x14ac:dyDescent="0.3">
      <c r="A66" s="11">
        <v>6</v>
      </c>
      <c r="B66" s="11" t="s">
        <v>256</v>
      </c>
      <c r="C66" s="13" t="s">
        <v>4</v>
      </c>
      <c r="D66" s="11" t="s">
        <v>257</v>
      </c>
      <c r="E66" s="11">
        <f>MATCH("Delhi",$D$6:$D$55,0)</f>
        <v>1</v>
      </c>
      <c r="F66" s="22" t="s">
        <v>248</v>
      </c>
      <c r="G66" s="23">
        <v>6</v>
      </c>
      <c r="H66" s="23">
        <f>MATCH("Delhi",D6:D55,0)</f>
        <v>1</v>
      </c>
    </row>
    <row r="67" spans="1:8" ht="28.8" x14ac:dyDescent="0.3">
      <c r="A67" s="11">
        <v>7</v>
      </c>
      <c r="B67" s="11" t="s">
        <v>258</v>
      </c>
      <c r="C67" s="14" t="s">
        <v>5</v>
      </c>
      <c r="D67" s="11" t="s">
        <v>259</v>
      </c>
      <c r="E67" s="11">
        <f>MATCH(MAX($E$6:$E$55),$E$6:$E$55,0)</f>
        <v>26</v>
      </c>
      <c r="F67" s="22" t="s">
        <v>248</v>
      </c>
      <c r="G67" s="23">
        <v>7</v>
      </c>
      <c r="H67" s="23">
        <f>MATCH(MAX(E6:E55),E6:E55,0)</f>
        <v>26</v>
      </c>
    </row>
    <row r="68" spans="1:8" ht="28.8" x14ac:dyDescent="0.3">
      <c r="A68" s="11">
        <v>8</v>
      </c>
      <c r="B68" s="11" t="s">
        <v>260</v>
      </c>
      <c r="C68" s="14" t="s">
        <v>5</v>
      </c>
      <c r="D68" s="11" t="s">
        <v>257</v>
      </c>
      <c r="E68" s="11">
        <f>MATCH("Excellent",$G$6:$G$55,0)</f>
        <v>2</v>
      </c>
      <c r="F68" s="22" t="s">
        <v>248</v>
      </c>
      <c r="G68" s="23">
        <v>8</v>
      </c>
      <c r="H68" s="23">
        <f>MATCH("Excellent",G6:G55,0)</f>
        <v>2</v>
      </c>
    </row>
    <row r="69" spans="1:8" ht="28.8" x14ac:dyDescent="0.3">
      <c r="A69" s="11">
        <v>9</v>
      </c>
      <c r="B69" s="11" t="s">
        <v>261</v>
      </c>
      <c r="C69" s="14" t="s">
        <v>5</v>
      </c>
      <c r="D69" s="11" t="s">
        <v>255</v>
      </c>
      <c r="E69" s="11">
        <f>MATCH(55000,$E$6:$E$55,0)</f>
        <v>4</v>
      </c>
      <c r="F69" s="22" t="s">
        <v>248</v>
      </c>
      <c r="G69" s="23">
        <v>9</v>
      </c>
      <c r="H69" s="23">
        <f>MATCH(55000,E6:E55,0)</f>
        <v>4</v>
      </c>
    </row>
    <row r="70" spans="1:8" ht="43.2" x14ac:dyDescent="0.3">
      <c r="A70" s="11">
        <v>10</v>
      </c>
      <c r="B70" s="11" t="s">
        <v>262</v>
      </c>
      <c r="C70" s="15" t="s">
        <v>6</v>
      </c>
      <c r="D70" s="11" t="s">
        <v>263</v>
      </c>
      <c r="E70" s="11" t="e">
        <f>MATCH(I2,$A$6:$A$55,0)</f>
        <v>#N/A</v>
      </c>
      <c r="F70" s="22" t="s">
        <v>248</v>
      </c>
      <c r="G70" s="23">
        <v>10</v>
      </c>
      <c r="H70" s="35" t="s">
        <v>525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0"/>
  <sheetViews>
    <sheetView showGridLines="0" workbookViewId="0">
      <pane ySplit="4" topLeftCell="A63" activePane="bottomLeft" state="frozen"/>
      <selection pane="bottomLeft" activeCell="H70" sqref="H7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 min="10" max="10" width="14.21875" customWidth="1"/>
  </cols>
  <sheetData>
    <row r="1" spans="1:10" ht="24" customHeight="1" x14ac:dyDescent="0.4">
      <c r="A1" s="1" t="s">
        <v>264</v>
      </c>
    </row>
    <row r="2" spans="1:10" x14ac:dyDescent="0.3">
      <c r="A2" s="2" t="s">
        <v>20</v>
      </c>
    </row>
    <row r="4" spans="1:10" ht="22.05" customHeight="1" x14ac:dyDescent="0.3">
      <c r="A4" s="7" t="s">
        <v>21</v>
      </c>
    </row>
    <row r="5" spans="1:10" x14ac:dyDescent="0.3">
      <c r="A5" s="8" t="s">
        <v>22</v>
      </c>
      <c r="B5" s="8" t="s">
        <v>23</v>
      </c>
      <c r="C5" s="8" t="s">
        <v>24</v>
      </c>
      <c r="D5" s="8" t="s">
        <v>25</v>
      </c>
      <c r="E5" s="8" t="s">
        <v>26</v>
      </c>
      <c r="F5" s="8" t="s">
        <v>27</v>
      </c>
      <c r="G5" s="8" t="s">
        <v>28</v>
      </c>
      <c r="H5" s="8" t="s">
        <v>29</v>
      </c>
      <c r="I5" s="30" t="s">
        <v>42</v>
      </c>
      <c r="J5" s="26"/>
    </row>
    <row r="6" spans="1:10" x14ac:dyDescent="0.3">
      <c r="A6" s="9" t="s">
        <v>30</v>
      </c>
      <c r="B6" s="9" t="s">
        <v>31</v>
      </c>
      <c r="C6" s="9" t="s">
        <v>32</v>
      </c>
      <c r="D6" s="9" t="s">
        <v>33</v>
      </c>
      <c r="E6" s="9">
        <v>45000</v>
      </c>
      <c r="F6" s="9">
        <v>2</v>
      </c>
      <c r="G6" s="9" t="s">
        <v>34</v>
      </c>
      <c r="H6" s="9">
        <v>25000</v>
      </c>
      <c r="I6" s="26" t="s">
        <v>23</v>
      </c>
      <c r="J6" s="26" t="str">
        <f>INDEX(B6:B55,MATCH(I5,A6:A55,0))</f>
        <v>Ananya Roy</v>
      </c>
    </row>
    <row r="7" spans="1:10" x14ac:dyDescent="0.3">
      <c r="A7" s="9" t="s">
        <v>35</v>
      </c>
      <c r="B7" s="9" t="s">
        <v>36</v>
      </c>
      <c r="C7" s="9" t="s">
        <v>37</v>
      </c>
      <c r="D7" s="9" t="s">
        <v>38</v>
      </c>
      <c r="E7" s="9">
        <v>40000</v>
      </c>
      <c r="F7" s="9">
        <v>3</v>
      </c>
      <c r="G7" s="9" t="s">
        <v>39</v>
      </c>
      <c r="H7" s="9">
        <v>30000</v>
      </c>
      <c r="I7" s="26" t="s">
        <v>526</v>
      </c>
      <c r="J7" s="26"/>
    </row>
    <row r="8" spans="1:10" x14ac:dyDescent="0.3">
      <c r="A8" s="9" t="s">
        <v>40</v>
      </c>
      <c r="B8" s="9" t="s">
        <v>41</v>
      </c>
      <c r="C8" s="9" t="s">
        <v>32</v>
      </c>
      <c r="D8" s="9" t="s">
        <v>33</v>
      </c>
      <c r="E8" s="9">
        <v>50000</v>
      </c>
      <c r="F8" s="9">
        <v>4</v>
      </c>
      <c r="G8" s="9" t="s">
        <v>39</v>
      </c>
      <c r="H8" s="9">
        <v>42000</v>
      </c>
    </row>
    <row r="9" spans="1:10" x14ac:dyDescent="0.3">
      <c r="A9" s="9" t="s">
        <v>42</v>
      </c>
      <c r="B9" s="9" t="s">
        <v>43</v>
      </c>
      <c r="C9" s="9" t="s">
        <v>44</v>
      </c>
      <c r="D9" s="9" t="s">
        <v>45</v>
      </c>
      <c r="E9" s="9">
        <v>55000</v>
      </c>
      <c r="F9" s="9">
        <v>5</v>
      </c>
      <c r="G9" s="9" t="s">
        <v>34</v>
      </c>
      <c r="H9" s="9">
        <v>38000</v>
      </c>
    </row>
    <row r="10" spans="1:10" x14ac:dyDescent="0.3">
      <c r="A10" s="9" t="s">
        <v>46</v>
      </c>
      <c r="B10" s="9" t="s">
        <v>47</v>
      </c>
      <c r="C10" s="9" t="s">
        <v>48</v>
      </c>
      <c r="D10" s="9" t="s">
        <v>33</v>
      </c>
      <c r="E10" s="9">
        <v>38000</v>
      </c>
      <c r="F10" s="9">
        <v>1</v>
      </c>
      <c r="G10" s="9" t="s">
        <v>49</v>
      </c>
      <c r="H10" s="9">
        <v>22000</v>
      </c>
    </row>
    <row r="11" spans="1:10" x14ac:dyDescent="0.3">
      <c r="A11" s="9" t="s">
        <v>50</v>
      </c>
      <c r="B11" s="9" t="s">
        <v>51</v>
      </c>
      <c r="C11" s="9" t="s">
        <v>32</v>
      </c>
      <c r="D11" s="9" t="s">
        <v>52</v>
      </c>
      <c r="E11" s="9">
        <v>60000</v>
      </c>
      <c r="F11" s="9">
        <v>6</v>
      </c>
      <c r="G11" s="9" t="s">
        <v>39</v>
      </c>
      <c r="H11" s="9">
        <v>55000</v>
      </c>
    </row>
    <row r="12" spans="1:10" x14ac:dyDescent="0.3">
      <c r="A12" s="9" t="s">
        <v>53</v>
      </c>
      <c r="B12" s="9" t="s">
        <v>54</v>
      </c>
      <c r="C12" s="9" t="s">
        <v>37</v>
      </c>
      <c r="D12" s="9" t="s">
        <v>33</v>
      </c>
      <c r="E12" s="9">
        <v>42000</v>
      </c>
      <c r="F12" s="9">
        <v>2</v>
      </c>
      <c r="G12" s="9" t="s">
        <v>34</v>
      </c>
      <c r="H12" s="9">
        <v>28000</v>
      </c>
    </row>
    <row r="13" spans="1:10" x14ac:dyDescent="0.3">
      <c r="A13" s="9" t="s">
        <v>55</v>
      </c>
      <c r="B13" s="9" t="s">
        <v>56</v>
      </c>
      <c r="C13" s="9" t="s">
        <v>44</v>
      </c>
      <c r="D13" s="9" t="s">
        <v>38</v>
      </c>
      <c r="E13" s="9">
        <v>52000</v>
      </c>
      <c r="F13" s="9">
        <v>5</v>
      </c>
      <c r="G13" s="9" t="s">
        <v>39</v>
      </c>
      <c r="H13" s="9">
        <v>46000</v>
      </c>
    </row>
    <row r="14" spans="1:10" x14ac:dyDescent="0.3">
      <c r="A14" s="9" t="s">
        <v>57</v>
      </c>
      <c r="B14" s="9" t="s">
        <v>58</v>
      </c>
      <c r="C14" s="9" t="s">
        <v>48</v>
      </c>
      <c r="D14" s="9" t="s">
        <v>59</v>
      </c>
      <c r="E14" s="9">
        <v>39000</v>
      </c>
      <c r="F14" s="9">
        <v>2</v>
      </c>
      <c r="G14" s="9" t="s">
        <v>49</v>
      </c>
      <c r="H14" s="9">
        <v>24000</v>
      </c>
    </row>
    <row r="15" spans="1:10" x14ac:dyDescent="0.3">
      <c r="A15" s="9" t="s">
        <v>60</v>
      </c>
      <c r="B15" s="9" t="s">
        <v>61</v>
      </c>
      <c r="C15" s="9" t="s">
        <v>32</v>
      </c>
      <c r="D15" s="9" t="s">
        <v>62</v>
      </c>
      <c r="E15" s="9">
        <v>65000</v>
      </c>
      <c r="F15" s="9">
        <v>7</v>
      </c>
      <c r="G15" s="9" t="s">
        <v>39</v>
      </c>
      <c r="H15" s="9">
        <v>62000</v>
      </c>
    </row>
    <row r="16" spans="1:10"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21" t="s">
        <v>153</v>
      </c>
      <c r="G60" s="25" t="s">
        <v>515</v>
      </c>
      <c r="H60" s="25" t="s">
        <v>521</v>
      </c>
    </row>
    <row r="61" spans="1:8" ht="28.8" x14ac:dyDescent="0.3">
      <c r="A61" s="11">
        <v>1</v>
      </c>
      <c r="B61" s="11" t="s">
        <v>265</v>
      </c>
      <c r="C61" s="12" t="s">
        <v>3</v>
      </c>
      <c r="D61" s="11" t="s">
        <v>43</v>
      </c>
      <c r="E61" s="11" t="str">
        <f>INDEX($B$6:$B$55,MATCH("E104",$A$6:$A$55,0))</f>
        <v>Ananya Roy</v>
      </c>
      <c r="F61" s="22" t="s">
        <v>266</v>
      </c>
      <c r="G61" s="33">
        <v>1</v>
      </c>
      <c r="H61" s="33" t="str">
        <f>INDEX($B$6:$B$55,MATCH("E104",A6:A55,0))</f>
        <v>Ananya Roy</v>
      </c>
    </row>
    <row r="62" spans="1:8" ht="28.8" x14ac:dyDescent="0.3">
      <c r="A62" s="11">
        <v>2</v>
      </c>
      <c r="B62" s="11" t="s">
        <v>267</v>
      </c>
      <c r="C62" s="12" t="s">
        <v>3</v>
      </c>
      <c r="D62" s="11" t="s">
        <v>268</v>
      </c>
      <c r="E62" s="11">
        <f>INDEX($E$6:$E$55,MATCH("E106",$A$6:$A$55,0))</f>
        <v>60000</v>
      </c>
      <c r="F62" s="22" t="s">
        <v>266</v>
      </c>
      <c r="G62" s="33">
        <v>2</v>
      </c>
      <c r="H62" s="33">
        <f>INDEX($E$6:$E$55,MATCH("E106",A6:A55,0))</f>
        <v>60000</v>
      </c>
    </row>
    <row r="63" spans="1:8" ht="28.8" x14ac:dyDescent="0.3">
      <c r="A63" s="11">
        <v>3</v>
      </c>
      <c r="B63" s="11" t="s">
        <v>269</v>
      </c>
      <c r="C63" s="12" t="s">
        <v>3</v>
      </c>
      <c r="D63" s="11" t="s">
        <v>37</v>
      </c>
      <c r="E63" s="11" t="str">
        <f>INDEX($C$6:$C$55,MATCH("E107",$A$6:$A$55,0))</f>
        <v>HR</v>
      </c>
      <c r="F63" s="22" t="s">
        <v>266</v>
      </c>
      <c r="G63" s="33">
        <v>3</v>
      </c>
      <c r="H63" s="33" t="str">
        <f>INDEX($C$6:$C$55,MATCH("E107",A6:A55,0))</f>
        <v>HR</v>
      </c>
    </row>
    <row r="64" spans="1:8" ht="28.8" x14ac:dyDescent="0.3">
      <c r="A64" s="11">
        <v>4</v>
      </c>
      <c r="B64" s="11" t="s">
        <v>270</v>
      </c>
      <c r="C64" s="13" t="s">
        <v>4</v>
      </c>
      <c r="D64" s="11" t="s">
        <v>62</v>
      </c>
      <c r="E64" s="11" t="str">
        <f>INDEX($D$6:$D$55,MATCH("E110",$A$6:$A$55,0))</f>
        <v>Pune</v>
      </c>
      <c r="F64" s="22" t="s">
        <v>266</v>
      </c>
      <c r="G64" s="33">
        <v>4</v>
      </c>
      <c r="H64" s="33" t="str">
        <f>INDEX($D$6:$D$55,MATCH("E110",A6:A55,0))</f>
        <v>Pune</v>
      </c>
    </row>
    <row r="65" spans="1:8" ht="28.8" x14ac:dyDescent="0.3">
      <c r="A65" s="11">
        <v>5</v>
      </c>
      <c r="B65" s="11" t="s">
        <v>271</v>
      </c>
      <c r="C65" s="13" t="s">
        <v>4</v>
      </c>
      <c r="D65" s="11" t="s">
        <v>272</v>
      </c>
      <c r="E65" s="11">
        <f>INDEX($H$6:$H$55,MATCH("E108",$A$6:$A$55,0))</f>
        <v>46000</v>
      </c>
      <c r="F65" s="22" t="s">
        <v>266</v>
      </c>
      <c r="G65" s="33">
        <v>5</v>
      </c>
      <c r="H65" s="33">
        <f>INDEX($H$6:$H$55,MATCH("E108",A6:A55,0))</f>
        <v>46000</v>
      </c>
    </row>
    <row r="66" spans="1:8" ht="28.8" x14ac:dyDescent="0.3">
      <c r="A66" s="11">
        <v>6</v>
      </c>
      <c r="B66" s="11" t="s">
        <v>273</v>
      </c>
      <c r="C66" s="13" t="s">
        <v>4</v>
      </c>
      <c r="D66" s="11" t="s">
        <v>39</v>
      </c>
      <c r="E66" s="11" t="str">
        <f>INDEX($G$6:$G$55,MATCH("E102",$A$6:$A$55,0))</f>
        <v>Excellent</v>
      </c>
      <c r="F66" s="22" t="s">
        <v>266</v>
      </c>
      <c r="G66" s="33">
        <v>6</v>
      </c>
      <c r="H66" s="33" t="str">
        <f>INDEX($G$6:$G$55,MATCH("E102",A6:A55,0))</f>
        <v>Excellent</v>
      </c>
    </row>
    <row r="67" spans="1:8" ht="28.8" x14ac:dyDescent="0.3">
      <c r="A67" s="11">
        <v>7</v>
      </c>
      <c r="B67" s="11" t="s">
        <v>274</v>
      </c>
      <c r="C67" s="14" t="s">
        <v>5</v>
      </c>
      <c r="D67" s="11" t="s">
        <v>35</v>
      </c>
      <c r="E67" s="11" t="str">
        <f>INDEX($A$6:$A$55,MATCH("Priya Singh",$B$6:$B$55,0))</f>
        <v>E102</v>
      </c>
      <c r="F67" s="22" t="s">
        <v>266</v>
      </c>
      <c r="G67" s="33">
        <v>7</v>
      </c>
      <c r="H67" s="33" t="str">
        <f>INDEX($A$6:$A$55,MATCH("Priya Singh",B6:B55,0))</f>
        <v>E102</v>
      </c>
    </row>
    <row r="68" spans="1:8" ht="28.8" x14ac:dyDescent="0.3">
      <c r="A68" s="11">
        <v>8</v>
      </c>
      <c r="B68" s="11" t="s">
        <v>275</v>
      </c>
      <c r="C68" s="14" t="s">
        <v>5</v>
      </c>
      <c r="D68" s="11" t="s">
        <v>276</v>
      </c>
      <c r="E68" s="11" t="str">
        <f>INDEX($C$6:$C$55,MATCH("E103",$A$6:$A$55,0))&amp;" - "&amp;INDEX($E$6:$E$55,MATCH("E103",$A$6:$A$55,0))</f>
        <v>IT - 50000</v>
      </c>
      <c r="F68" s="22" t="s">
        <v>266</v>
      </c>
      <c r="G68" s="33">
        <v>8</v>
      </c>
      <c r="H68" s="33" t="str">
        <f>INDEX(C6:C55,MATCH("E103",A6:A55,0))&amp;" - "&amp;INDEX(E6:E55,MATCH("E103",A6:A55,0))</f>
        <v>IT - 50000</v>
      </c>
    </row>
    <row r="69" spans="1:8" ht="28.8" x14ac:dyDescent="0.3">
      <c r="A69" s="11">
        <v>9</v>
      </c>
      <c r="B69" s="11" t="s">
        <v>277</v>
      </c>
      <c r="C69" s="14" t="s">
        <v>5</v>
      </c>
      <c r="D69" s="11" t="s">
        <v>163</v>
      </c>
      <c r="E69" s="11" t="str">
        <f>IFERROR(INDEX($B$6:$B$55,MATCH("E999",$A$6:$A$55,0)),"Employee Not Found")</f>
        <v>Employee Not Found</v>
      </c>
      <c r="F69" s="22" t="s">
        <v>266</v>
      </c>
      <c r="G69" s="33">
        <v>9</v>
      </c>
      <c r="H69" s="33" t="str">
        <f>IFERROR(INDEX(B6:B55,MATCH("E999",A6:A55,0)),"Employee Not Found")</f>
        <v>Employee Not Found</v>
      </c>
    </row>
    <row r="70" spans="1:8" ht="43.2" x14ac:dyDescent="0.3">
      <c r="A70" s="11">
        <v>10</v>
      </c>
      <c r="B70" s="11" t="s">
        <v>278</v>
      </c>
      <c r="C70" s="15" t="s">
        <v>6</v>
      </c>
      <c r="D70" s="11" t="s">
        <v>279</v>
      </c>
      <c r="E70" s="11" t="e">
        <f>INDEX($B$6:$B$55,MATCH(I2,$A$6:$A$55,0))</f>
        <v>#N/A</v>
      </c>
      <c r="F70" s="22" t="s">
        <v>266</v>
      </c>
      <c r="G70" s="33">
        <v>10</v>
      </c>
      <c r="H70" s="36" t="s">
        <v>527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70"/>
  <sheetViews>
    <sheetView showGridLines="0" topLeftCell="B1" workbookViewId="0">
      <pane ySplit="4" topLeftCell="A68" activePane="bottomLeft" state="frozen"/>
      <selection pane="bottomLeft" activeCell="H65" sqref="H65"/>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s>
  <sheetData>
    <row r="1" spans="1:10" ht="24" customHeight="1" x14ac:dyDescent="0.4">
      <c r="A1" s="1" t="s">
        <v>280</v>
      </c>
    </row>
    <row r="2" spans="1:10" x14ac:dyDescent="0.3">
      <c r="A2" s="2" t="s">
        <v>20</v>
      </c>
    </row>
    <row r="4" spans="1:10" ht="22.05" customHeight="1" x14ac:dyDescent="0.3">
      <c r="A4" s="7" t="s">
        <v>21</v>
      </c>
    </row>
    <row r="5" spans="1:10" x14ac:dyDescent="0.3">
      <c r="A5" s="8" t="s">
        <v>22</v>
      </c>
      <c r="B5" s="8" t="s">
        <v>23</v>
      </c>
      <c r="C5" s="8" t="s">
        <v>24</v>
      </c>
      <c r="D5" s="8" t="s">
        <v>25</v>
      </c>
      <c r="E5" s="8" t="s">
        <v>26</v>
      </c>
      <c r="F5" s="8" t="s">
        <v>27</v>
      </c>
      <c r="G5" s="8" t="s">
        <v>28</v>
      </c>
      <c r="H5" s="31" t="s">
        <v>29</v>
      </c>
      <c r="I5" s="25" t="s">
        <v>528</v>
      </c>
      <c r="J5" s="25" t="s">
        <v>530</v>
      </c>
    </row>
    <row r="6" spans="1:10" x14ac:dyDescent="0.3">
      <c r="A6" s="9" t="s">
        <v>30</v>
      </c>
      <c r="B6" s="9" t="s">
        <v>31</v>
      </c>
      <c r="C6" s="9" t="s">
        <v>32</v>
      </c>
      <c r="D6" s="9" t="s">
        <v>33</v>
      </c>
      <c r="E6" s="9">
        <v>45000</v>
      </c>
      <c r="F6" s="9">
        <v>2</v>
      </c>
      <c r="G6" s="9" t="s">
        <v>34</v>
      </c>
      <c r="H6" s="32">
        <v>25000</v>
      </c>
      <c r="I6" s="33" t="s">
        <v>32</v>
      </c>
      <c r="J6" s="33">
        <f>COUNTIF(C6:C55,I6)</f>
        <v>14</v>
      </c>
    </row>
    <row r="7" spans="1:10" x14ac:dyDescent="0.3">
      <c r="A7" s="9" t="s">
        <v>35</v>
      </c>
      <c r="B7" s="9" t="s">
        <v>36</v>
      </c>
      <c r="C7" s="9" t="s">
        <v>37</v>
      </c>
      <c r="D7" s="9" t="s">
        <v>38</v>
      </c>
      <c r="E7" s="9">
        <v>40000</v>
      </c>
      <c r="F7" s="9">
        <v>3</v>
      </c>
      <c r="G7" s="9" t="s">
        <v>39</v>
      </c>
      <c r="H7" s="32">
        <v>30000</v>
      </c>
      <c r="I7" s="33" t="s">
        <v>37</v>
      </c>
      <c r="J7" s="33">
        <f t="shared" ref="J7:J10" si="0">COUNTIF(C7:C56,I7)</f>
        <v>8</v>
      </c>
    </row>
    <row r="8" spans="1:10" x14ac:dyDescent="0.3">
      <c r="A8" s="9" t="s">
        <v>40</v>
      </c>
      <c r="B8" s="9" t="s">
        <v>41</v>
      </c>
      <c r="C8" s="9" t="s">
        <v>32</v>
      </c>
      <c r="D8" s="9" t="s">
        <v>33</v>
      </c>
      <c r="E8" s="9">
        <v>50000</v>
      </c>
      <c r="F8" s="9">
        <v>4</v>
      </c>
      <c r="G8" s="9" t="s">
        <v>39</v>
      </c>
      <c r="H8" s="32">
        <v>42000</v>
      </c>
      <c r="I8" s="33" t="s">
        <v>529</v>
      </c>
      <c r="J8" s="33">
        <f t="shared" si="0"/>
        <v>0</v>
      </c>
    </row>
    <row r="9" spans="1:10" x14ac:dyDescent="0.3">
      <c r="A9" s="9" t="s">
        <v>42</v>
      </c>
      <c r="B9" s="9" t="s">
        <v>43</v>
      </c>
      <c r="C9" s="9" t="s">
        <v>44</v>
      </c>
      <c r="D9" s="9" t="s">
        <v>45</v>
      </c>
      <c r="E9" s="9">
        <v>55000</v>
      </c>
      <c r="F9" s="9">
        <v>5</v>
      </c>
      <c r="G9" s="9" t="s">
        <v>34</v>
      </c>
      <c r="H9" s="32">
        <v>38000</v>
      </c>
      <c r="I9" s="33" t="s">
        <v>48</v>
      </c>
      <c r="J9" s="33">
        <f t="shared" si="0"/>
        <v>8</v>
      </c>
    </row>
    <row r="10" spans="1:10" x14ac:dyDescent="0.3">
      <c r="A10" s="9" t="s">
        <v>46</v>
      </c>
      <c r="B10" s="9" t="s">
        <v>47</v>
      </c>
      <c r="C10" s="9" t="s">
        <v>48</v>
      </c>
      <c r="D10" s="9" t="s">
        <v>33</v>
      </c>
      <c r="E10" s="9">
        <v>38000</v>
      </c>
      <c r="F10" s="9">
        <v>1</v>
      </c>
      <c r="G10" s="9" t="s">
        <v>49</v>
      </c>
      <c r="H10" s="32">
        <v>22000</v>
      </c>
      <c r="I10" s="33" t="s">
        <v>67</v>
      </c>
      <c r="J10" s="33">
        <f t="shared" si="0"/>
        <v>9</v>
      </c>
    </row>
    <row r="11" spans="1:10" x14ac:dyDescent="0.3">
      <c r="A11" s="9" t="s">
        <v>50</v>
      </c>
      <c r="B11" s="9" t="s">
        <v>51</v>
      </c>
      <c r="C11" s="9" t="s">
        <v>32</v>
      </c>
      <c r="D11" s="9" t="s">
        <v>52</v>
      </c>
      <c r="E11" s="9">
        <v>60000</v>
      </c>
      <c r="F11" s="9">
        <v>6</v>
      </c>
      <c r="G11" s="9" t="s">
        <v>39</v>
      </c>
      <c r="H11" s="9">
        <v>55000</v>
      </c>
    </row>
    <row r="12" spans="1:10" x14ac:dyDescent="0.3">
      <c r="A12" s="9" t="s">
        <v>53</v>
      </c>
      <c r="B12" s="9" t="s">
        <v>54</v>
      </c>
      <c r="C12" s="9" t="s">
        <v>37</v>
      </c>
      <c r="D12" s="9" t="s">
        <v>33</v>
      </c>
      <c r="E12" s="9">
        <v>42000</v>
      </c>
      <c r="F12" s="9">
        <v>2</v>
      </c>
      <c r="G12" s="9" t="s">
        <v>34</v>
      </c>
      <c r="H12" s="9">
        <v>28000</v>
      </c>
    </row>
    <row r="13" spans="1:10" x14ac:dyDescent="0.3">
      <c r="A13" s="9" t="s">
        <v>55</v>
      </c>
      <c r="B13" s="9" t="s">
        <v>56</v>
      </c>
      <c r="C13" s="9" t="s">
        <v>44</v>
      </c>
      <c r="D13" s="9" t="s">
        <v>38</v>
      </c>
      <c r="E13" s="9">
        <v>52000</v>
      </c>
      <c r="F13" s="9">
        <v>5</v>
      </c>
      <c r="G13" s="9" t="s">
        <v>39</v>
      </c>
      <c r="H13" s="9">
        <v>46000</v>
      </c>
    </row>
    <row r="14" spans="1:10" x14ac:dyDescent="0.3">
      <c r="A14" s="9" t="s">
        <v>57</v>
      </c>
      <c r="B14" s="9" t="s">
        <v>58</v>
      </c>
      <c r="C14" s="9" t="s">
        <v>48</v>
      </c>
      <c r="D14" s="9" t="s">
        <v>59</v>
      </c>
      <c r="E14" s="9">
        <v>39000</v>
      </c>
      <c r="F14" s="9">
        <v>2</v>
      </c>
      <c r="G14" s="9" t="s">
        <v>49</v>
      </c>
      <c r="H14" s="9">
        <v>24000</v>
      </c>
    </row>
    <row r="15" spans="1:10" x14ac:dyDescent="0.3">
      <c r="A15" s="9" t="s">
        <v>60</v>
      </c>
      <c r="B15" s="9" t="s">
        <v>61</v>
      </c>
      <c r="C15" s="9" t="s">
        <v>32</v>
      </c>
      <c r="D15" s="9" t="s">
        <v>62</v>
      </c>
      <c r="E15" s="9">
        <v>65000</v>
      </c>
      <c r="F15" s="9">
        <v>7</v>
      </c>
      <c r="G15" s="9" t="s">
        <v>39</v>
      </c>
      <c r="H15" s="9">
        <v>62000</v>
      </c>
    </row>
    <row r="16" spans="1:10"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9" x14ac:dyDescent="0.3">
      <c r="A49" s="9" t="s">
        <v>134</v>
      </c>
      <c r="B49" s="9" t="s">
        <v>135</v>
      </c>
      <c r="C49" s="9" t="s">
        <v>67</v>
      </c>
      <c r="D49" s="9" t="s">
        <v>59</v>
      </c>
      <c r="E49" s="9">
        <v>92000</v>
      </c>
      <c r="F49" s="9">
        <v>8</v>
      </c>
      <c r="G49" s="9" t="s">
        <v>34</v>
      </c>
      <c r="H49" s="9">
        <v>137483</v>
      </c>
    </row>
    <row r="50" spans="1:9" x14ac:dyDescent="0.3">
      <c r="A50" s="9" t="s">
        <v>136</v>
      </c>
      <c r="B50" s="9" t="s">
        <v>137</v>
      </c>
      <c r="C50" s="9" t="s">
        <v>67</v>
      </c>
      <c r="D50" s="9" t="s">
        <v>62</v>
      </c>
      <c r="E50" s="9">
        <v>63000</v>
      </c>
      <c r="F50" s="9">
        <v>1</v>
      </c>
      <c r="G50" s="9" t="s">
        <v>39</v>
      </c>
      <c r="H50" s="9">
        <v>84217</v>
      </c>
    </row>
    <row r="51" spans="1:9" x14ac:dyDescent="0.3">
      <c r="A51" s="9" t="s">
        <v>138</v>
      </c>
      <c r="B51" s="9" t="s">
        <v>139</v>
      </c>
      <c r="C51" s="9" t="s">
        <v>37</v>
      </c>
      <c r="D51" s="9" t="s">
        <v>52</v>
      </c>
      <c r="E51" s="9">
        <v>82000</v>
      </c>
      <c r="F51" s="9">
        <v>9</v>
      </c>
      <c r="G51" s="9" t="s">
        <v>39</v>
      </c>
      <c r="H51" s="9">
        <v>43995</v>
      </c>
    </row>
    <row r="52" spans="1:9" x14ac:dyDescent="0.3">
      <c r="A52" s="9" t="s">
        <v>140</v>
      </c>
      <c r="B52" s="9" t="s">
        <v>141</v>
      </c>
      <c r="C52" s="9" t="s">
        <v>82</v>
      </c>
      <c r="D52" s="9" t="s">
        <v>33</v>
      </c>
      <c r="E52" s="9">
        <v>75000</v>
      </c>
      <c r="F52" s="9">
        <v>10</v>
      </c>
      <c r="G52" s="9" t="s">
        <v>34</v>
      </c>
      <c r="H52" s="9">
        <v>70819</v>
      </c>
    </row>
    <row r="53" spans="1:9" x14ac:dyDescent="0.3">
      <c r="A53" s="9" t="s">
        <v>142</v>
      </c>
      <c r="B53" s="9" t="s">
        <v>143</v>
      </c>
      <c r="C53" s="9" t="s">
        <v>44</v>
      </c>
      <c r="D53" s="9" t="s">
        <v>33</v>
      </c>
      <c r="E53" s="9">
        <v>73000</v>
      </c>
      <c r="F53" s="9">
        <v>4</v>
      </c>
      <c r="G53" s="9" t="s">
        <v>49</v>
      </c>
      <c r="H53" s="9">
        <v>88839</v>
      </c>
    </row>
    <row r="54" spans="1:9" x14ac:dyDescent="0.3">
      <c r="A54" s="9" t="s">
        <v>144</v>
      </c>
      <c r="B54" s="9" t="s">
        <v>145</v>
      </c>
      <c r="C54" s="9" t="s">
        <v>48</v>
      </c>
      <c r="D54" s="9" t="s">
        <v>83</v>
      </c>
      <c r="E54" s="9">
        <v>58000</v>
      </c>
      <c r="F54" s="9">
        <v>14</v>
      </c>
      <c r="G54" s="9" t="s">
        <v>39</v>
      </c>
      <c r="H54" s="9">
        <v>79452</v>
      </c>
    </row>
    <row r="55" spans="1:9" x14ac:dyDescent="0.3">
      <c r="A55" s="9" t="s">
        <v>146</v>
      </c>
      <c r="B55" s="9" t="s">
        <v>147</v>
      </c>
      <c r="C55" s="9" t="s">
        <v>32</v>
      </c>
      <c r="D55" s="9" t="s">
        <v>83</v>
      </c>
      <c r="E55" s="9">
        <v>70000</v>
      </c>
      <c r="F55" s="9">
        <v>13</v>
      </c>
      <c r="G55" s="9" t="s">
        <v>73</v>
      </c>
      <c r="H55" s="9">
        <v>96079</v>
      </c>
    </row>
    <row r="60" spans="1:9" x14ac:dyDescent="0.3">
      <c r="A60" s="10" t="s">
        <v>148</v>
      </c>
      <c r="B60" s="10" t="s">
        <v>149</v>
      </c>
      <c r="C60" s="10" t="s">
        <v>150</v>
      </c>
      <c r="D60" s="10" t="s">
        <v>151</v>
      </c>
      <c r="E60" s="10" t="s">
        <v>152</v>
      </c>
      <c r="F60" s="21" t="s">
        <v>153</v>
      </c>
      <c r="G60" s="25" t="s">
        <v>515</v>
      </c>
      <c r="H60" s="25" t="s">
        <v>521</v>
      </c>
      <c r="I60" s="33"/>
    </row>
    <row r="61" spans="1:9" ht="28.8" x14ac:dyDescent="0.3">
      <c r="A61" s="11">
        <v>1</v>
      </c>
      <c r="B61" s="11" t="s">
        <v>281</v>
      </c>
      <c r="C61" s="12" t="s">
        <v>3</v>
      </c>
      <c r="D61" s="11" t="s">
        <v>252</v>
      </c>
      <c r="E61" s="11">
        <f>COUNTIF($C$6:$C$55,"IT")</f>
        <v>14</v>
      </c>
      <c r="F61" s="22" t="s">
        <v>282</v>
      </c>
      <c r="G61" s="33">
        <v>1</v>
      </c>
      <c r="H61" s="33">
        <f>COUNTIF(C6:C55,"IT")</f>
        <v>14</v>
      </c>
      <c r="I61" s="33"/>
    </row>
    <row r="62" spans="1:9" ht="28.8" x14ac:dyDescent="0.3">
      <c r="A62" s="11">
        <v>2</v>
      </c>
      <c r="B62" s="11" t="s">
        <v>283</v>
      </c>
      <c r="C62" s="12" t="s">
        <v>3</v>
      </c>
      <c r="D62" s="11" t="s">
        <v>284</v>
      </c>
      <c r="E62" s="11">
        <f>COUNTIF($D$6:$D$55,"Delhi")</f>
        <v>8</v>
      </c>
      <c r="F62" s="22" t="s">
        <v>282</v>
      </c>
      <c r="G62" s="33">
        <v>2</v>
      </c>
      <c r="H62" s="33">
        <f>COUNTIF(D6:D55,"Delhi")</f>
        <v>8</v>
      </c>
      <c r="I62" s="33"/>
    </row>
    <row r="63" spans="1:9" ht="28.8" x14ac:dyDescent="0.3">
      <c r="A63" s="11">
        <v>3</v>
      </c>
      <c r="B63" s="11" t="s">
        <v>285</v>
      </c>
      <c r="C63" s="12" t="s">
        <v>3</v>
      </c>
      <c r="D63" s="11" t="s">
        <v>286</v>
      </c>
      <c r="E63" s="11">
        <f>COUNTIF($G$6:$G$55,"Excellent")</f>
        <v>14</v>
      </c>
      <c r="F63" s="22" t="s">
        <v>282</v>
      </c>
      <c r="G63" s="33">
        <v>3</v>
      </c>
      <c r="H63" s="33">
        <f>COUNTIF(G6:G55,"Excellent")</f>
        <v>14</v>
      </c>
      <c r="I63" s="33"/>
    </row>
    <row r="64" spans="1:9" ht="28.8" x14ac:dyDescent="0.3">
      <c r="A64" s="11">
        <v>4</v>
      </c>
      <c r="B64" s="11" t="s">
        <v>287</v>
      </c>
      <c r="C64" s="13" t="s">
        <v>4</v>
      </c>
      <c r="D64" s="11" t="s">
        <v>288</v>
      </c>
      <c r="E64" s="11">
        <f>COUNTIF($E$6:$E$55,"&gt;50000")</f>
        <v>32</v>
      </c>
      <c r="F64" s="22" t="s">
        <v>282</v>
      </c>
      <c r="G64" s="33">
        <v>4</v>
      </c>
      <c r="H64" s="33">
        <f>COUNTIF(E6:E55,"&gt;50000")</f>
        <v>32</v>
      </c>
      <c r="I64" s="33"/>
    </row>
    <row r="65" spans="1:9" ht="28.8" x14ac:dyDescent="0.3">
      <c r="A65" s="11">
        <v>5</v>
      </c>
      <c r="B65" s="11" t="s">
        <v>289</v>
      </c>
      <c r="C65" s="13" t="s">
        <v>4</v>
      </c>
      <c r="D65" s="11" t="s">
        <v>290</v>
      </c>
      <c r="E65" s="11">
        <f>COUNTIF($C$6:$C$55,"Finance")</f>
        <v>5</v>
      </c>
      <c r="F65" s="22" t="s">
        <v>282</v>
      </c>
      <c r="G65" s="33">
        <v>5</v>
      </c>
      <c r="H65" s="33">
        <f>COUNTIF(C6:C55,"Finance")</f>
        <v>5</v>
      </c>
      <c r="I65" s="33"/>
    </row>
    <row r="66" spans="1:9" ht="28.8" x14ac:dyDescent="0.3">
      <c r="A66" s="11">
        <v>6</v>
      </c>
      <c r="B66" s="11" t="s">
        <v>291</v>
      </c>
      <c r="C66" s="13" t="s">
        <v>4</v>
      </c>
      <c r="D66" s="11" t="s">
        <v>292</v>
      </c>
      <c r="E66" s="11">
        <f>COUNTIF($F$6:$F$55,"&gt;=5")</f>
        <v>29</v>
      </c>
      <c r="F66" s="22" t="s">
        <v>282</v>
      </c>
      <c r="G66" s="33">
        <v>6</v>
      </c>
      <c r="H66" s="33">
        <f>COUNTIF(F6:F55,"&gt;=5")</f>
        <v>29</v>
      </c>
      <c r="I66" s="33"/>
    </row>
    <row r="67" spans="1:9" ht="28.8" x14ac:dyDescent="0.3">
      <c r="A67" s="11">
        <v>7</v>
      </c>
      <c r="B67" s="11" t="s">
        <v>293</v>
      </c>
      <c r="C67" s="14" t="s">
        <v>5</v>
      </c>
      <c r="D67" s="11" t="s">
        <v>250</v>
      </c>
      <c r="E67" s="11">
        <f>COUNTIFS($C$6:$C$55,"IT",$D$6:$D$55,"Delhi")</f>
        <v>2</v>
      </c>
      <c r="F67" s="22" t="s">
        <v>282</v>
      </c>
      <c r="G67" s="33">
        <v>7</v>
      </c>
      <c r="H67" s="33">
        <f>COUNTIFS(C6:C55,"IT",D6:D55,"Delhi")</f>
        <v>2</v>
      </c>
      <c r="I67" s="33"/>
    </row>
    <row r="68" spans="1:9" ht="28.8" x14ac:dyDescent="0.3">
      <c r="A68" s="11">
        <v>8</v>
      </c>
      <c r="B68" s="11" t="s">
        <v>294</v>
      </c>
      <c r="C68" s="14" t="s">
        <v>5</v>
      </c>
      <c r="D68" s="11" t="s">
        <v>295</v>
      </c>
      <c r="E68" s="11">
        <f>COUNTIF($H$6:$H$55,"&gt;50000")</f>
        <v>29</v>
      </c>
      <c r="F68" s="22" t="s">
        <v>282</v>
      </c>
      <c r="G68" s="33">
        <v>8</v>
      </c>
      <c r="H68" s="33">
        <f>COUNTIF(H6:H55,"&gt;50000")</f>
        <v>29</v>
      </c>
      <c r="I68" s="33"/>
    </row>
    <row r="69" spans="1:9" ht="28.8" x14ac:dyDescent="0.3">
      <c r="A69" s="11">
        <v>9</v>
      </c>
      <c r="B69" s="11" t="s">
        <v>296</v>
      </c>
      <c r="C69" s="14" t="s">
        <v>5</v>
      </c>
      <c r="D69" s="11" t="s">
        <v>295</v>
      </c>
      <c r="E69" s="11">
        <f>COUNTIF($C$6:$C$55,"Marketing")+COUNTIF($C$6:$C$55,"Sales")</f>
        <v>17</v>
      </c>
      <c r="F69" s="22" t="s">
        <v>282</v>
      </c>
      <c r="G69" s="33">
        <v>9</v>
      </c>
      <c r="H69" s="33">
        <f>COUNTIF(C6:C55,"Marketing")+COUNTIF(C6:C55,"Sales")</f>
        <v>17</v>
      </c>
      <c r="I69" s="33"/>
    </row>
    <row r="70" spans="1:9" ht="28.8" x14ac:dyDescent="0.3">
      <c r="A70" s="11">
        <v>10</v>
      </c>
      <c r="B70" s="11" t="s">
        <v>297</v>
      </c>
      <c r="C70" s="15" t="s">
        <v>6</v>
      </c>
      <c r="D70" s="11" t="s">
        <v>298</v>
      </c>
      <c r="E70" s="11">
        <f>MAX(COUNTIF($C$6:$C$55,$C$6:$C$55))</f>
        <v>0</v>
      </c>
      <c r="F70" s="22" t="s">
        <v>282</v>
      </c>
      <c r="G70" s="33">
        <v>10</v>
      </c>
      <c r="H70" s="33">
        <f>MAX(J6:J11)</f>
        <v>14</v>
      </c>
      <c r="I70" s="33" t="str">
        <f>INDEX(I6:I11,MATCH(MAX(J6:J11),J6:J11,0))</f>
        <v>IT</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70"/>
  <sheetViews>
    <sheetView showGridLines="0" topLeftCell="C1" workbookViewId="0">
      <pane ySplit="4" topLeftCell="A61" activePane="bottomLeft" state="frozen"/>
      <selection pane="bottomLeft" activeCell="I5" sqref="I5"/>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s>
  <sheetData>
    <row r="1" spans="1:10" ht="24" customHeight="1" x14ac:dyDescent="0.4">
      <c r="A1" s="1" t="s">
        <v>299</v>
      </c>
    </row>
    <row r="2" spans="1:10" x14ac:dyDescent="0.3">
      <c r="A2" s="2" t="s">
        <v>20</v>
      </c>
    </row>
    <row r="4" spans="1:10" ht="22.05" customHeight="1" x14ac:dyDescent="0.3">
      <c r="A4" s="7" t="s">
        <v>21</v>
      </c>
    </row>
    <row r="5" spans="1:10" x14ac:dyDescent="0.3">
      <c r="A5" s="8" t="s">
        <v>22</v>
      </c>
      <c r="B5" s="8" t="s">
        <v>23</v>
      </c>
      <c r="C5" s="8" t="s">
        <v>24</v>
      </c>
      <c r="D5" s="8" t="s">
        <v>25</v>
      </c>
      <c r="E5" s="8" t="s">
        <v>26</v>
      </c>
      <c r="F5" s="8" t="s">
        <v>27</v>
      </c>
      <c r="G5" s="8" t="s">
        <v>28</v>
      </c>
      <c r="H5" s="8" t="s">
        <v>29</v>
      </c>
      <c r="I5" s="37" t="s">
        <v>32</v>
      </c>
      <c r="J5" s="26">
        <f>SUMIF(C6:C55,I5,E6:E55)</f>
        <v>734000</v>
      </c>
    </row>
    <row r="6" spans="1:10" x14ac:dyDescent="0.3">
      <c r="A6" s="9" t="s">
        <v>30</v>
      </c>
      <c r="B6" s="9" t="s">
        <v>31</v>
      </c>
      <c r="C6" s="9" t="s">
        <v>32</v>
      </c>
      <c r="D6" s="9" t="s">
        <v>33</v>
      </c>
      <c r="E6" s="9">
        <v>45000</v>
      </c>
      <c r="F6" s="9">
        <v>2</v>
      </c>
      <c r="G6" s="9" t="s">
        <v>34</v>
      </c>
      <c r="H6" s="9">
        <v>25000</v>
      </c>
      <c r="I6" s="26" t="s">
        <v>37</v>
      </c>
      <c r="J6" s="26">
        <f t="shared" ref="J6:J9" si="0">SUMIF(C7:C56,I6,E7:E56)</f>
        <v>518000</v>
      </c>
    </row>
    <row r="7" spans="1:10" x14ac:dyDescent="0.3">
      <c r="A7" s="9" t="s">
        <v>35</v>
      </c>
      <c r="B7" s="9" t="s">
        <v>36</v>
      </c>
      <c r="C7" s="9" t="s">
        <v>37</v>
      </c>
      <c r="D7" s="9" t="s">
        <v>38</v>
      </c>
      <c r="E7" s="9">
        <v>40000</v>
      </c>
      <c r="F7" s="9">
        <v>3</v>
      </c>
      <c r="G7" s="9" t="s">
        <v>39</v>
      </c>
      <c r="H7" s="9">
        <v>30000</v>
      </c>
      <c r="I7" s="26" t="s">
        <v>44</v>
      </c>
      <c r="J7" s="26">
        <f t="shared" si="0"/>
        <v>327000</v>
      </c>
    </row>
    <row r="8" spans="1:10" x14ac:dyDescent="0.3">
      <c r="A8" s="9" t="s">
        <v>40</v>
      </c>
      <c r="B8" s="9" t="s">
        <v>41</v>
      </c>
      <c r="C8" s="9" t="s">
        <v>32</v>
      </c>
      <c r="D8" s="9" t="s">
        <v>33</v>
      </c>
      <c r="E8" s="9">
        <v>50000</v>
      </c>
      <c r="F8" s="9">
        <v>4</v>
      </c>
      <c r="G8" s="9" t="s">
        <v>39</v>
      </c>
      <c r="H8" s="9">
        <v>42000</v>
      </c>
      <c r="I8" s="26" t="s">
        <v>48</v>
      </c>
      <c r="J8" s="26">
        <f t="shared" si="0"/>
        <v>514000</v>
      </c>
    </row>
    <row r="9" spans="1:10" x14ac:dyDescent="0.3">
      <c r="A9" s="9" t="s">
        <v>42</v>
      </c>
      <c r="B9" s="9" t="s">
        <v>43</v>
      </c>
      <c r="C9" s="9" t="s">
        <v>44</v>
      </c>
      <c r="D9" s="9" t="s">
        <v>45</v>
      </c>
      <c r="E9" s="9">
        <v>55000</v>
      </c>
      <c r="F9" s="9">
        <v>5</v>
      </c>
      <c r="G9" s="9" t="s">
        <v>34</v>
      </c>
      <c r="H9" s="9">
        <v>38000</v>
      </c>
      <c r="I9" s="26" t="s">
        <v>67</v>
      </c>
      <c r="J9" s="26">
        <f t="shared" si="0"/>
        <v>612000</v>
      </c>
    </row>
    <row r="10" spans="1:10" x14ac:dyDescent="0.3">
      <c r="A10" s="9" t="s">
        <v>46</v>
      </c>
      <c r="B10" s="9" t="s">
        <v>47</v>
      </c>
      <c r="C10" s="9" t="s">
        <v>48</v>
      </c>
      <c r="D10" s="9" t="s">
        <v>33</v>
      </c>
      <c r="E10" s="9">
        <v>38000</v>
      </c>
      <c r="F10" s="9">
        <v>1</v>
      </c>
      <c r="G10" s="9" t="s">
        <v>49</v>
      </c>
      <c r="H10" s="9">
        <v>22000</v>
      </c>
    </row>
    <row r="11" spans="1:10" x14ac:dyDescent="0.3">
      <c r="A11" s="9" t="s">
        <v>50</v>
      </c>
      <c r="B11" s="9" t="s">
        <v>51</v>
      </c>
      <c r="C11" s="9" t="s">
        <v>32</v>
      </c>
      <c r="D11" s="9" t="s">
        <v>52</v>
      </c>
      <c r="E11" s="9">
        <v>60000</v>
      </c>
      <c r="F11" s="9">
        <v>6</v>
      </c>
      <c r="G11" s="9" t="s">
        <v>39</v>
      </c>
      <c r="H11" s="9">
        <v>55000</v>
      </c>
    </row>
    <row r="12" spans="1:10" x14ac:dyDescent="0.3">
      <c r="A12" s="9" t="s">
        <v>53</v>
      </c>
      <c r="B12" s="9" t="s">
        <v>54</v>
      </c>
      <c r="C12" s="9" t="s">
        <v>37</v>
      </c>
      <c r="D12" s="9" t="s">
        <v>33</v>
      </c>
      <c r="E12" s="9">
        <v>42000</v>
      </c>
      <c r="F12" s="9">
        <v>2</v>
      </c>
      <c r="G12" s="9" t="s">
        <v>34</v>
      </c>
      <c r="H12" s="9">
        <v>28000</v>
      </c>
    </row>
    <row r="13" spans="1:10" x14ac:dyDescent="0.3">
      <c r="A13" s="9" t="s">
        <v>55</v>
      </c>
      <c r="B13" s="9" t="s">
        <v>56</v>
      </c>
      <c r="C13" s="9" t="s">
        <v>44</v>
      </c>
      <c r="D13" s="9" t="s">
        <v>38</v>
      </c>
      <c r="E13" s="9">
        <v>52000</v>
      </c>
      <c r="F13" s="9">
        <v>5</v>
      </c>
      <c r="G13" s="9" t="s">
        <v>39</v>
      </c>
      <c r="H13" s="9">
        <v>46000</v>
      </c>
    </row>
    <row r="14" spans="1:10" x14ac:dyDescent="0.3">
      <c r="A14" s="9" t="s">
        <v>57</v>
      </c>
      <c r="B14" s="9" t="s">
        <v>58</v>
      </c>
      <c r="C14" s="9" t="s">
        <v>48</v>
      </c>
      <c r="D14" s="9" t="s">
        <v>59</v>
      </c>
      <c r="E14" s="9">
        <v>39000</v>
      </c>
      <c r="F14" s="9">
        <v>2</v>
      </c>
      <c r="G14" s="9" t="s">
        <v>49</v>
      </c>
      <c r="H14" s="9">
        <v>24000</v>
      </c>
    </row>
    <row r="15" spans="1:10" x14ac:dyDescent="0.3">
      <c r="A15" s="9" t="s">
        <v>60</v>
      </c>
      <c r="B15" s="9" t="s">
        <v>61</v>
      </c>
      <c r="C15" s="9" t="s">
        <v>32</v>
      </c>
      <c r="D15" s="9" t="s">
        <v>62</v>
      </c>
      <c r="E15" s="9">
        <v>65000</v>
      </c>
      <c r="F15" s="9">
        <v>7</v>
      </c>
      <c r="G15" s="9" t="s">
        <v>39</v>
      </c>
      <c r="H15" s="9">
        <v>62000</v>
      </c>
    </row>
    <row r="16" spans="1:10"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9" x14ac:dyDescent="0.3">
      <c r="A49" s="9" t="s">
        <v>134</v>
      </c>
      <c r="B49" s="9" t="s">
        <v>135</v>
      </c>
      <c r="C49" s="9" t="s">
        <v>67</v>
      </c>
      <c r="D49" s="9" t="s">
        <v>59</v>
      </c>
      <c r="E49" s="9">
        <v>92000</v>
      </c>
      <c r="F49" s="9">
        <v>8</v>
      </c>
      <c r="G49" s="9" t="s">
        <v>34</v>
      </c>
      <c r="H49" s="9">
        <v>137483</v>
      </c>
    </row>
    <row r="50" spans="1:9" x14ac:dyDescent="0.3">
      <c r="A50" s="9" t="s">
        <v>136</v>
      </c>
      <c r="B50" s="9" t="s">
        <v>137</v>
      </c>
      <c r="C50" s="9" t="s">
        <v>67</v>
      </c>
      <c r="D50" s="9" t="s">
        <v>62</v>
      </c>
      <c r="E50" s="9">
        <v>63000</v>
      </c>
      <c r="F50" s="9">
        <v>1</v>
      </c>
      <c r="G50" s="9" t="s">
        <v>39</v>
      </c>
      <c r="H50" s="9">
        <v>84217</v>
      </c>
    </row>
    <row r="51" spans="1:9" x14ac:dyDescent="0.3">
      <c r="A51" s="9" t="s">
        <v>138</v>
      </c>
      <c r="B51" s="9" t="s">
        <v>139</v>
      </c>
      <c r="C51" s="9" t="s">
        <v>37</v>
      </c>
      <c r="D51" s="9" t="s">
        <v>52</v>
      </c>
      <c r="E51" s="9">
        <v>82000</v>
      </c>
      <c r="F51" s="9">
        <v>9</v>
      </c>
      <c r="G51" s="9" t="s">
        <v>39</v>
      </c>
      <c r="H51" s="9">
        <v>43995</v>
      </c>
    </row>
    <row r="52" spans="1:9" x14ac:dyDescent="0.3">
      <c r="A52" s="9" t="s">
        <v>140</v>
      </c>
      <c r="B52" s="9" t="s">
        <v>141</v>
      </c>
      <c r="C52" s="9" t="s">
        <v>82</v>
      </c>
      <c r="D52" s="9" t="s">
        <v>33</v>
      </c>
      <c r="E52" s="9">
        <v>75000</v>
      </c>
      <c r="F52" s="9">
        <v>10</v>
      </c>
      <c r="G52" s="9" t="s">
        <v>34</v>
      </c>
      <c r="H52" s="9">
        <v>70819</v>
      </c>
    </row>
    <row r="53" spans="1:9" x14ac:dyDescent="0.3">
      <c r="A53" s="9" t="s">
        <v>142</v>
      </c>
      <c r="B53" s="9" t="s">
        <v>143</v>
      </c>
      <c r="C53" s="9" t="s">
        <v>44</v>
      </c>
      <c r="D53" s="9" t="s">
        <v>33</v>
      </c>
      <c r="E53" s="9">
        <v>73000</v>
      </c>
      <c r="F53" s="9">
        <v>4</v>
      </c>
      <c r="G53" s="9" t="s">
        <v>49</v>
      </c>
      <c r="H53" s="9">
        <v>88839</v>
      </c>
    </row>
    <row r="54" spans="1:9" x14ac:dyDescent="0.3">
      <c r="A54" s="9" t="s">
        <v>144</v>
      </c>
      <c r="B54" s="9" t="s">
        <v>145</v>
      </c>
      <c r="C54" s="9" t="s">
        <v>48</v>
      </c>
      <c r="D54" s="9" t="s">
        <v>83</v>
      </c>
      <c r="E54" s="9">
        <v>58000</v>
      </c>
      <c r="F54" s="9">
        <v>14</v>
      </c>
      <c r="G54" s="9" t="s">
        <v>39</v>
      </c>
      <c r="H54" s="9">
        <v>79452</v>
      </c>
    </row>
    <row r="55" spans="1:9" x14ac:dyDescent="0.3">
      <c r="A55" s="9" t="s">
        <v>146</v>
      </c>
      <c r="B55" s="9" t="s">
        <v>147</v>
      </c>
      <c r="C55" s="9" t="s">
        <v>32</v>
      </c>
      <c r="D55" s="9" t="s">
        <v>83</v>
      </c>
      <c r="E55" s="9">
        <v>70000</v>
      </c>
      <c r="F55" s="9">
        <v>13</v>
      </c>
      <c r="G55" s="9" t="s">
        <v>73</v>
      </c>
      <c r="H55" s="9">
        <v>96079</v>
      </c>
    </row>
    <row r="60" spans="1:9" x14ac:dyDescent="0.3">
      <c r="A60" s="10" t="s">
        <v>148</v>
      </c>
      <c r="B60" s="10" t="s">
        <v>149</v>
      </c>
      <c r="C60" s="10" t="s">
        <v>150</v>
      </c>
      <c r="D60" s="10" t="s">
        <v>151</v>
      </c>
      <c r="E60" s="10" t="s">
        <v>152</v>
      </c>
      <c r="F60" s="21" t="s">
        <v>153</v>
      </c>
      <c r="G60" s="25" t="s">
        <v>531</v>
      </c>
      <c r="H60" s="25" t="s">
        <v>521</v>
      </c>
      <c r="I60" s="33"/>
    </row>
    <row r="61" spans="1:9" ht="28.8" x14ac:dyDescent="0.3">
      <c r="A61" s="11">
        <v>1</v>
      </c>
      <c r="B61" s="11" t="s">
        <v>300</v>
      </c>
      <c r="C61" s="12" t="s">
        <v>3</v>
      </c>
      <c r="D61" s="11" t="s">
        <v>301</v>
      </c>
      <c r="E61" s="11">
        <f>SUMIF($C$6:$C$55,"IT",$E$6:$E$55)</f>
        <v>734000</v>
      </c>
      <c r="F61" s="22" t="s">
        <v>302</v>
      </c>
      <c r="G61" s="33">
        <v>1</v>
      </c>
      <c r="H61" s="33">
        <f>SUMIF(C6:C55,"IT",E6:E55)</f>
        <v>734000</v>
      </c>
      <c r="I61" s="33"/>
    </row>
    <row r="62" spans="1:9" ht="28.8" x14ac:dyDescent="0.3">
      <c r="A62" s="11">
        <v>2</v>
      </c>
      <c r="B62" s="11" t="s">
        <v>303</v>
      </c>
      <c r="C62" s="12" t="s">
        <v>3</v>
      </c>
      <c r="D62" s="11" t="s">
        <v>304</v>
      </c>
      <c r="E62" s="11">
        <f>SUMIF($C$6:$C$55,"HR",$E$6:$E$55)</f>
        <v>518000</v>
      </c>
      <c r="F62" s="22" t="s">
        <v>302</v>
      </c>
      <c r="G62" s="33">
        <v>2</v>
      </c>
      <c r="H62" s="33">
        <f>SUMIF(C6:C55,"HR",E6:E55)</f>
        <v>518000</v>
      </c>
      <c r="I62" s="33"/>
    </row>
    <row r="63" spans="1:9" ht="28.8" x14ac:dyDescent="0.3">
      <c r="A63" s="11">
        <v>3</v>
      </c>
      <c r="B63" s="11" t="s">
        <v>305</v>
      </c>
      <c r="C63" s="12" t="s">
        <v>3</v>
      </c>
      <c r="D63" s="11" t="s">
        <v>306</v>
      </c>
      <c r="E63" s="11">
        <f>SUMIF($D$6:$D$55,"Delhi",$H$6:$H$55)</f>
        <v>481795</v>
      </c>
      <c r="F63" s="22" t="s">
        <v>302</v>
      </c>
      <c r="G63" s="33">
        <v>3</v>
      </c>
      <c r="H63" s="33">
        <f>SUMIF(D6:D55,"Delhi",H6:H55)</f>
        <v>481795</v>
      </c>
      <c r="I63" s="33"/>
    </row>
    <row r="64" spans="1:9" ht="28.8" x14ac:dyDescent="0.3">
      <c r="A64" s="11">
        <v>4</v>
      </c>
      <c r="B64" s="11" t="s">
        <v>307</v>
      </c>
      <c r="C64" s="13" t="s">
        <v>4</v>
      </c>
      <c r="D64" s="11" t="s">
        <v>308</v>
      </c>
      <c r="E64" s="11">
        <f>SUMIF($C$6:$C$55,"Finance",$E$6:$E$55)</f>
        <v>327000</v>
      </c>
      <c r="F64" s="22" t="s">
        <v>302</v>
      </c>
      <c r="G64" s="33">
        <v>4</v>
      </c>
      <c r="H64" s="33">
        <f>SUMIF(C6:C55,"Finance",E6:E55)</f>
        <v>327000</v>
      </c>
      <c r="I64" s="33"/>
    </row>
    <row r="65" spans="1:9" ht="28.8" x14ac:dyDescent="0.3">
      <c r="A65" s="11">
        <v>5</v>
      </c>
      <c r="B65" s="11" t="s">
        <v>309</v>
      </c>
      <c r="C65" s="13" t="s">
        <v>4</v>
      </c>
      <c r="D65" s="11" t="s">
        <v>310</v>
      </c>
      <c r="E65" s="11">
        <f>SUMIF($D$6:$D$55,"Mumbai",$H$6:$H$55)</f>
        <v>426679</v>
      </c>
      <c r="F65" s="22" t="s">
        <v>302</v>
      </c>
      <c r="G65" s="33">
        <v>5</v>
      </c>
      <c r="H65" s="33">
        <f>SUMIF(D6:D55,"Mumbai",H6:H55)</f>
        <v>426679</v>
      </c>
      <c r="I65" s="33"/>
    </row>
    <row r="66" spans="1:9" ht="28.8" x14ac:dyDescent="0.3">
      <c r="A66" s="11">
        <v>6</v>
      </c>
      <c r="B66" s="11" t="s">
        <v>311</v>
      </c>
      <c r="C66" s="13" t="s">
        <v>4</v>
      </c>
      <c r="D66" s="11" t="s">
        <v>312</v>
      </c>
      <c r="E66" s="11">
        <f>SUMIF($G$6:$G$55,"Excellent",$H$6:$H$55)</f>
        <v>846992</v>
      </c>
      <c r="F66" s="22" t="s">
        <v>302</v>
      </c>
      <c r="G66" s="33">
        <v>6</v>
      </c>
      <c r="H66" s="33">
        <f>SUMIF(G6:G55,"Excellent",H6:H55)</f>
        <v>846992</v>
      </c>
      <c r="I66" s="33"/>
    </row>
    <row r="67" spans="1:9" ht="28.8" x14ac:dyDescent="0.3">
      <c r="A67" s="11">
        <v>7</v>
      </c>
      <c r="B67" s="11" t="s">
        <v>313</v>
      </c>
      <c r="C67" s="14" t="s">
        <v>5</v>
      </c>
      <c r="D67" s="11" t="s">
        <v>314</v>
      </c>
      <c r="E67" s="11">
        <f>SUMIFS($E$6:$E$55,$C$6:$C$55,"IT",$D$6:$D$55,"Delhi")</f>
        <v>95000</v>
      </c>
      <c r="F67" s="22" t="s">
        <v>302</v>
      </c>
      <c r="G67" s="33">
        <v>7</v>
      </c>
      <c r="H67" s="33">
        <f>SUMIFS(E6:E55,C6:C55,"IT",D6:D55,"Delhi")</f>
        <v>95000</v>
      </c>
      <c r="I67" s="33"/>
    </row>
    <row r="68" spans="1:9" ht="28.8" x14ac:dyDescent="0.3">
      <c r="A68" s="11">
        <v>8</v>
      </c>
      <c r="B68" s="11" t="s">
        <v>315</v>
      </c>
      <c r="C68" s="14" t="s">
        <v>5</v>
      </c>
      <c r="D68" s="11" t="s">
        <v>316</v>
      </c>
      <c r="E68" s="11">
        <f>SUMIF($E$6:$E$55,"&gt;50000",$H$6:$H$55)</f>
        <v>2408701</v>
      </c>
      <c r="F68" s="22" t="s">
        <v>302</v>
      </c>
      <c r="G68" s="33">
        <v>8</v>
      </c>
      <c r="H68" s="33">
        <f>SUMIF(E6:E55,"&gt;50000",H6:H55)</f>
        <v>2408701</v>
      </c>
      <c r="I68" s="33"/>
    </row>
    <row r="69" spans="1:9" ht="28.8" x14ac:dyDescent="0.3">
      <c r="A69" s="11">
        <v>9</v>
      </c>
      <c r="B69" s="11" t="s">
        <v>317</v>
      </c>
      <c r="C69" s="14" t="s">
        <v>5</v>
      </c>
      <c r="D69" s="11" t="s">
        <v>318</v>
      </c>
      <c r="E69" s="11">
        <f>SUMIF($C$6:$C$55,"Marketing",$E$6:$E$55)</f>
        <v>514000</v>
      </c>
      <c r="F69" s="22" t="s">
        <v>302</v>
      </c>
      <c r="G69" s="33">
        <v>9</v>
      </c>
      <c r="H69" s="33">
        <f>SUMIF(C6:C55,"Marketing",E6:E55)</f>
        <v>514000</v>
      </c>
      <c r="I69" s="33"/>
    </row>
    <row r="70" spans="1:9" ht="28.8" x14ac:dyDescent="0.3">
      <c r="A70" s="11">
        <v>10</v>
      </c>
      <c r="B70" s="11" t="s">
        <v>319</v>
      </c>
      <c r="C70" s="15" t="s">
        <v>6</v>
      </c>
      <c r="D70" s="11" t="s">
        <v>320</v>
      </c>
      <c r="E70" s="11">
        <f ca="1">MAX(SUMIF($C$6:$C$55,_xludf.UNIQUE($C$6:$C$55),$E$6:$E$55))</f>
        <v>0</v>
      </c>
      <c r="F70" s="22" t="s">
        <v>302</v>
      </c>
      <c r="G70" s="33">
        <v>10</v>
      </c>
      <c r="H70" s="33">
        <f>MAX(J5:J9)</f>
        <v>734000</v>
      </c>
      <c r="I70" s="33" t="str">
        <f>INDEX(I5:I9, MATCH(MAX(J5:J9),J5:J9,0))</f>
        <v>IT</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0"/>
  <sheetViews>
    <sheetView showGridLines="0" topLeftCell="C1" workbookViewId="0">
      <pane ySplit="4" topLeftCell="A61" activePane="bottomLeft" state="frozen"/>
      <selection pane="bottomLeft" activeCell="G60" sqref="G60:H7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8" width="16" customWidth="1"/>
  </cols>
  <sheetData>
    <row r="1" spans="1:8" ht="24" customHeight="1" x14ac:dyDescent="0.4">
      <c r="A1" s="1" t="s">
        <v>321</v>
      </c>
    </row>
    <row r="2" spans="1:8" x14ac:dyDescent="0.3">
      <c r="A2" s="2" t="s">
        <v>20</v>
      </c>
    </row>
    <row r="4" spans="1:8" ht="22.05" customHeight="1" x14ac:dyDescent="0.3">
      <c r="A4" s="7" t="s">
        <v>21</v>
      </c>
    </row>
    <row r="5" spans="1:8" x14ac:dyDescent="0.3">
      <c r="A5" s="8" t="s">
        <v>22</v>
      </c>
      <c r="B5" s="8" t="s">
        <v>23</v>
      </c>
      <c r="C5" s="8" t="s">
        <v>24</v>
      </c>
      <c r="D5" s="8" t="s">
        <v>25</v>
      </c>
      <c r="E5" s="8" t="s">
        <v>26</v>
      </c>
      <c r="F5" s="8" t="s">
        <v>27</v>
      </c>
      <c r="G5" s="8" t="s">
        <v>28</v>
      </c>
      <c r="H5" s="8" t="s">
        <v>29</v>
      </c>
    </row>
    <row r="6" spans="1:8" x14ac:dyDescent="0.3">
      <c r="A6" s="9" t="s">
        <v>30</v>
      </c>
      <c r="B6" s="9" t="s">
        <v>31</v>
      </c>
      <c r="C6" s="9" t="s">
        <v>32</v>
      </c>
      <c r="D6" s="9" t="s">
        <v>33</v>
      </c>
      <c r="E6" s="9">
        <v>45000</v>
      </c>
      <c r="F6" s="9">
        <v>2</v>
      </c>
      <c r="G6" s="9" t="s">
        <v>34</v>
      </c>
      <c r="H6" s="9">
        <v>25000</v>
      </c>
    </row>
    <row r="7" spans="1:8" x14ac:dyDescent="0.3">
      <c r="A7" s="9" t="s">
        <v>35</v>
      </c>
      <c r="B7" s="9" t="s">
        <v>36</v>
      </c>
      <c r="C7" s="9" t="s">
        <v>37</v>
      </c>
      <c r="D7" s="9" t="s">
        <v>38</v>
      </c>
      <c r="E7" s="9">
        <v>40000</v>
      </c>
      <c r="F7" s="9">
        <v>3</v>
      </c>
      <c r="G7" s="9" t="s">
        <v>39</v>
      </c>
      <c r="H7" s="9">
        <v>30000</v>
      </c>
    </row>
    <row r="8" spans="1:8" x14ac:dyDescent="0.3">
      <c r="A8" s="9" t="s">
        <v>40</v>
      </c>
      <c r="B8" s="9" t="s">
        <v>41</v>
      </c>
      <c r="C8" s="9" t="s">
        <v>32</v>
      </c>
      <c r="D8" s="9" t="s">
        <v>33</v>
      </c>
      <c r="E8" s="9">
        <v>50000</v>
      </c>
      <c r="F8" s="9">
        <v>4</v>
      </c>
      <c r="G8" s="9" t="s">
        <v>39</v>
      </c>
      <c r="H8" s="9">
        <v>42000</v>
      </c>
    </row>
    <row r="9" spans="1:8" x14ac:dyDescent="0.3">
      <c r="A9" s="9" t="s">
        <v>42</v>
      </c>
      <c r="B9" s="9" t="s">
        <v>43</v>
      </c>
      <c r="C9" s="9" t="s">
        <v>44</v>
      </c>
      <c r="D9" s="9" t="s">
        <v>45</v>
      </c>
      <c r="E9" s="9">
        <v>55000</v>
      </c>
      <c r="F9" s="9">
        <v>5</v>
      </c>
      <c r="G9" s="9" t="s">
        <v>34</v>
      </c>
      <c r="H9" s="9">
        <v>38000</v>
      </c>
    </row>
    <row r="10" spans="1:8" x14ac:dyDescent="0.3">
      <c r="A10" s="9" t="s">
        <v>46</v>
      </c>
      <c r="B10" s="9" t="s">
        <v>47</v>
      </c>
      <c r="C10" s="9" t="s">
        <v>48</v>
      </c>
      <c r="D10" s="9" t="s">
        <v>33</v>
      </c>
      <c r="E10" s="9">
        <v>38000</v>
      </c>
      <c r="F10" s="9">
        <v>1</v>
      </c>
      <c r="G10" s="9" t="s">
        <v>49</v>
      </c>
      <c r="H10" s="9">
        <v>22000</v>
      </c>
    </row>
    <row r="11" spans="1:8" x14ac:dyDescent="0.3">
      <c r="A11" s="9" t="s">
        <v>50</v>
      </c>
      <c r="B11" s="9" t="s">
        <v>51</v>
      </c>
      <c r="C11" s="9" t="s">
        <v>32</v>
      </c>
      <c r="D11" s="9" t="s">
        <v>52</v>
      </c>
      <c r="E11" s="9">
        <v>60000</v>
      </c>
      <c r="F11" s="9">
        <v>6</v>
      </c>
      <c r="G11" s="9" t="s">
        <v>39</v>
      </c>
      <c r="H11" s="9">
        <v>55000</v>
      </c>
    </row>
    <row r="12" spans="1:8" x14ac:dyDescent="0.3">
      <c r="A12" s="9" t="s">
        <v>53</v>
      </c>
      <c r="B12" s="9" t="s">
        <v>54</v>
      </c>
      <c r="C12" s="9" t="s">
        <v>37</v>
      </c>
      <c r="D12" s="9" t="s">
        <v>33</v>
      </c>
      <c r="E12" s="9">
        <v>42000</v>
      </c>
      <c r="F12" s="9">
        <v>2</v>
      </c>
      <c r="G12" s="9" t="s">
        <v>34</v>
      </c>
      <c r="H12" s="9">
        <v>28000</v>
      </c>
    </row>
    <row r="13" spans="1:8" x14ac:dyDescent="0.3">
      <c r="A13" s="9" t="s">
        <v>55</v>
      </c>
      <c r="B13" s="9" t="s">
        <v>56</v>
      </c>
      <c r="C13" s="9" t="s">
        <v>44</v>
      </c>
      <c r="D13" s="9" t="s">
        <v>38</v>
      </c>
      <c r="E13" s="9">
        <v>52000</v>
      </c>
      <c r="F13" s="9">
        <v>5</v>
      </c>
      <c r="G13" s="9" t="s">
        <v>39</v>
      </c>
      <c r="H13" s="9">
        <v>46000</v>
      </c>
    </row>
    <row r="14" spans="1:8" x14ac:dyDescent="0.3">
      <c r="A14" s="9" t="s">
        <v>57</v>
      </c>
      <c r="B14" s="9" t="s">
        <v>58</v>
      </c>
      <c r="C14" s="9" t="s">
        <v>48</v>
      </c>
      <c r="D14" s="9" t="s">
        <v>59</v>
      </c>
      <c r="E14" s="9">
        <v>39000</v>
      </c>
      <c r="F14" s="9">
        <v>2</v>
      </c>
      <c r="G14" s="9" t="s">
        <v>49</v>
      </c>
      <c r="H14" s="9">
        <v>24000</v>
      </c>
    </row>
    <row r="15" spans="1:8" x14ac:dyDescent="0.3">
      <c r="A15" s="9" t="s">
        <v>60</v>
      </c>
      <c r="B15" s="9" t="s">
        <v>61</v>
      </c>
      <c r="C15" s="9" t="s">
        <v>32</v>
      </c>
      <c r="D15" s="9" t="s">
        <v>62</v>
      </c>
      <c r="E15" s="9">
        <v>65000</v>
      </c>
      <c r="F15" s="9">
        <v>7</v>
      </c>
      <c r="G15" s="9" t="s">
        <v>39</v>
      </c>
      <c r="H15" s="9">
        <v>62000</v>
      </c>
    </row>
    <row r="16" spans="1:8"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21" t="s">
        <v>153</v>
      </c>
      <c r="G60" s="39" t="s">
        <v>515</v>
      </c>
      <c r="H60" s="39" t="s">
        <v>516</v>
      </c>
    </row>
    <row r="61" spans="1:8" ht="28.8" x14ac:dyDescent="0.3">
      <c r="A61" s="11">
        <v>1</v>
      </c>
      <c r="B61" s="11" t="s">
        <v>322</v>
      </c>
      <c r="C61" s="12" t="s">
        <v>3</v>
      </c>
      <c r="D61" s="11" t="s">
        <v>323</v>
      </c>
      <c r="E61" s="11" t="str">
        <f>IF($E$6&gt;=50000,"High Salary","Low Salary")</f>
        <v>Low Salary</v>
      </c>
      <c r="F61" s="22" t="s">
        <v>324</v>
      </c>
      <c r="G61" s="33">
        <v>1</v>
      </c>
      <c r="H61" s="33" t="str">
        <f>IF(E5&gt;=50000,"High Salary","Low Salary")</f>
        <v>High Salary</v>
      </c>
    </row>
    <row r="62" spans="1:8" ht="28.8" x14ac:dyDescent="0.3">
      <c r="A62" s="11">
        <v>2</v>
      </c>
      <c r="B62" s="11" t="s">
        <v>325</v>
      </c>
      <c r="C62" s="12" t="s">
        <v>3</v>
      </c>
      <c r="D62" s="11" t="s">
        <v>326</v>
      </c>
      <c r="E62" s="11" t="str">
        <f>IF($H$6&gt;=25000,"Pass","Fail")</f>
        <v>Pass</v>
      </c>
      <c r="F62" s="22" t="s">
        <v>324</v>
      </c>
      <c r="G62" s="33">
        <v>2</v>
      </c>
      <c r="H62" s="33" t="str">
        <f>IF(H5&gt;=25000,"Pass","Fail")</f>
        <v>Pass</v>
      </c>
    </row>
    <row r="63" spans="1:8" ht="28.8" x14ac:dyDescent="0.3">
      <c r="A63" s="11">
        <v>3</v>
      </c>
      <c r="B63" s="11" t="s">
        <v>327</v>
      </c>
      <c r="C63" s="12" t="s">
        <v>3</v>
      </c>
      <c r="D63" s="11" t="s">
        <v>328</v>
      </c>
      <c r="E63" s="11" t="str">
        <f>IF($F$6&gt;=3,"Eligible","Not Eligible")</f>
        <v>Not Eligible</v>
      </c>
      <c r="F63" s="22" t="s">
        <v>324</v>
      </c>
      <c r="G63" s="33">
        <v>3</v>
      </c>
      <c r="H63" s="33" t="str">
        <f>IF(G5="Excellent","Bonus Eligible","Not Eligible")</f>
        <v>Not Eligible</v>
      </c>
    </row>
    <row r="64" spans="1:8" ht="28.8" x14ac:dyDescent="0.3">
      <c r="A64" s="11">
        <v>4</v>
      </c>
      <c r="B64" s="11" t="s">
        <v>329</v>
      </c>
      <c r="C64" s="13" t="s">
        <v>4</v>
      </c>
      <c r="D64" s="11" t="s">
        <v>330</v>
      </c>
      <c r="E64" s="11" t="str">
        <f>IF($G$6="Excellent","Bonus Eligible","Not Eligible")</f>
        <v>Not Eligible</v>
      </c>
      <c r="F64" s="22" t="s">
        <v>324</v>
      </c>
      <c r="G64" s="33">
        <v>4</v>
      </c>
      <c r="H64" s="33" t="str">
        <f>IF(G5="Excellent","Bonus Eligible","Not Eligible")</f>
        <v>Not Eligible</v>
      </c>
    </row>
    <row r="65" spans="1:8" ht="28.8" x14ac:dyDescent="0.3">
      <c r="A65" s="11">
        <v>5</v>
      </c>
      <c r="B65" s="11" t="s">
        <v>331</v>
      </c>
      <c r="C65" s="13" t="s">
        <v>4</v>
      </c>
      <c r="D65" s="11" t="s">
        <v>332</v>
      </c>
      <c r="E65" s="11" t="str">
        <f>IF($E$6&gt;=60000,"Senior Grade","Junior Grade")</f>
        <v>Junior Grade</v>
      </c>
      <c r="F65" s="22" t="s">
        <v>324</v>
      </c>
      <c r="G65" s="33">
        <v>5</v>
      </c>
      <c r="H65" s="33" t="str">
        <f>IF(E5&gt;=60000,"Senior Grade","Junior Grade")</f>
        <v>Senior Grade</v>
      </c>
    </row>
    <row r="66" spans="1:8" ht="28.8" x14ac:dyDescent="0.3">
      <c r="A66" s="11">
        <v>6</v>
      </c>
      <c r="B66" s="11" t="s">
        <v>333</v>
      </c>
      <c r="C66" s="13" t="s">
        <v>4</v>
      </c>
      <c r="D66" s="11" t="s">
        <v>334</v>
      </c>
      <c r="E66" s="11" t="str">
        <f>IF(OR($D$6="Delhi",$D$6="Mumbai"),"City Priority","Standard")</f>
        <v>City Priority</v>
      </c>
      <c r="F66" s="22" t="s">
        <v>324</v>
      </c>
      <c r="G66" s="33">
        <v>6</v>
      </c>
      <c r="H66" s="33" t="str">
        <f>IF(OR(D5="Delhi",D5="Mumbai"),"City Priority","Standard")</f>
        <v>Standard</v>
      </c>
    </row>
    <row r="67" spans="1:8" ht="43.2" x14ac:dyDescent="0.3">
      <c r="A67" s="11">
        <v>7</v>
      </c>
      <c r="B67" s="11" t="s">
        <v>335</v>
      </c>
      <c r="C67" s="14" t="s">
        <v>5</v>
      </c>
      <c r="D67" s="11" t="s">
        <v>336</v>
      </c>
      <c r="E67" s="11" t="str">
        <f>IF(VLOOKUP("E106",$A$6:$H$55,5,FALSE)&gt;50000,"High Value","Normal")</f>
        <v>High Value</v>
      </c>
      <c r="F67" s="22" t="s">
        <v>324</v>
      </c>
      <c r="G67" s="33">
        <v>7</v>
      </c>
      <c r="H67" s="33" t="str">
        <f>IF(VLOOKUP("E105",A6:$H55,5,FALSE)&gt;50000,"High Value","Normal")</f>
        <v>Normal</v>
      </c>
    </row>
    <row r="68" spans="1:8" ht="28.8" x14ac:dyDescent="0.3">
      <c r="A68" s="11">
        <v>8</v>
      </c>
      <c r="B68" s="11" t="s">
        <v>337</v>
      </c>
      <c r="C68" s="14" t="s">
        <v>5</v>
      </c>
      <c r="D68" s="11" t="s">
        <v>338</v>
      </c>
      <c r="E68" s="11" t="str">
        <f>IF(COUNTIF($C$6:$C$55,"IT")&gt;8,"Popular","Not Popular")</f>
        <v>Popular</v>
      </c>
      <c r="F68" s="22" t="s">
        <v>324</v>
      </c>
      <c r="G68" s="33">
        <v>8</v>
      </c>
      <c r="H68" s="33" t="str">
        <f>IF(COUNTIF(C6:C55,"IT")&gt;8,"Popular","Not Popular")</f>
        <v>Popular</v>
      </c>
    </row>
    <row r="69" spans="1:8" ht="28.8" x14ac:dyDescent="0.3">
      <c r="A69" s="11">
        <v>9</v>
      </c>
      <c r="B69" s="11" t="s">
        <v>339</v>
      </c>
      <c r="C69" s="14" t="s">
        <v>5</v>
      </c>
      <c r="D69" s="11" t="s">
        <v>340</v>
      </c>
      <c r="E69" s="11" t="str">
        <f>IF(AND($F$6&gt;=7,$G$6="Excellent"),"Promotion Eligible","No Promotion")</f>
        <v>No Promotion</v>
      </c>
      <c r="F69" s="22" t="s">
        <v>324</v>
      </c>
      <c r="G69" s="33">
        <v>9</v>
      </c>
      <c r="H69" s="33" t="str">
        <f>IF(AND(F5&gt;=7,G5="Excellent"),"Promotion Eligible","No Promotion")</f>
        <v>No Promotion</v>
      </c>
    </row>
    <row r="70" spans="1:8" ht="28.8" x14ac:dyDescent="0.3">
      <c r="A70" s="11">
        <v>10</v>
      </c>
      <c r="B70" s="11" t="s">
        <v>341</v>
      </c>
      <c r="C70" s="15" t="s">
        <v>6</v>
      </c>
      <c r="D70" s="11" t="s">
        <v>342</v>
      </c>
      <c r="E70" s="11" t="str">
        <f>IF(AND($E$6&gt;60000,$H$6&gt;50000,$G$6="Excellent"),"Top Performer","Standard")</f>
        <v>Standard</v>
      </c>
      <c r="F70" s="22" t="s">
        <v>324</v>
      </c>
      <c r="G70" s="33">
        <v>10</v>
      </c>
      <c r="H70" s="33" t="str">
        <f>IF(E6&gt;60000,"High Performer",IF(E6&gt;50000,"Good Performer","Average Performer"))</f>
        <v>Average Performer</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0"/>
  <sheetViews>
    <sheetView showGridLines="0" workbookViewId="0">
      <pane ySplit="4" topLeftCell="A65" activePane="bottomLeft" state="frozen"/>
      <selection pane="bottomLeft" activeCell="G60" sqref="G60:H70"/>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7" max="7" width="16" customWidth="1"/>
    <col min="8" max="8" width="18.6640625" customWidth="1"/>
  </cols>
  <sheetData>
    <row r="1" spans="1:8" ht="24" customHeight="1" x14ac:dyDescent="0.4">
      <c r="A1" s="1" t="s">
        <v>343</v>
      </c>
    </row>
    <row r="2" spans="1:8" x14ac:dyDescent="0.3">
      <c r="A2" s="2" t="s">
        <v>20</v>
      </c>
    </row>
    <row r="4" spans="1:8" ht="22.05" customHeight="1" x14ac:dyDescent="0.3">
      <c r="A4" s="7" t="s">
        <v>21</v>
      </c>
    </row>
    <row r="5" spans="1:8" x14ac:dyDescent="0.3">
      <c r="A5" s="8" t="s">
        <v>22</v>
      </c>
      <c r="B5" s="8" t="s">
        <v>23</v>
      </c>
      <c r="C5" s="8" t="s">
        <v>24</v>
      </c>
      <c r="D5" s="8" t="s">
        <v>25</v>
      </c>
      <c r="E5" s="8" t="s">
        <v>26</v>
      </c>
      <c r="F5" s="8" t="s">
        <v>27</v>
      </c>
      <c r="G5" s="8" t="s">
        <v>28</v>
      </c>
      <c r="H5" s="8" t="s">
        <v>29</v>
      </c>
    </row>
    <row r="6" spans="1:8" x14ac:dyDescent="0.3">
      <c r="A6" s="9" t="s">
        <v>30</v>
      </c>
      <c r="B6" s="9" t="s">
        <v>31</v>
      </c>
      <c r="C6" s="9" t="s">
        <v>32</v>
      </c>
      <c r="D6" s="9" t="s">
        <v>33</v>
      </c>
      <c r="E6" s="9">
        <v>45000</v>
      </c>
      <c r="F6" s="9">
        <v>2</v>
      </c>
      <c r="G6" s="9" t="s">
        <v>34</v>
      </c>
      <c r="H6" s="9">
        <v>25000</v>
      </c>
    </row>
    <row r="7" spans="1:8" x14ac:dyDescent="0.3">
      <c r="A7" s="9" t="s">
        <v>35</v>
      </c>
      <c r="B7" s="9" t="s">
        <v>36</v>
      </c>
      <c r="C7" s="9" t="s">
        <v>37</v>
      </c>
      <c r="D7" s="9" t="s">
        <v>38</v>
      </c>
      <c r="E7" s="9">
        <v>40000</v>
      </c>
      <c r="F7" s="9">
        <v>3</v>
      </c>
      <c r="G7" s="9" t="s">
        <v>39</v>
      </c>
      <c r="H7" s="9">
        <v>30000</v>
      </c>
    </row>
    <row r="8" spans="1:8" x14ac:dyDescent="0.3">
      <c r="A8" s="9" t="s">
        <v>40</v>
      </c>
      <c r="B8" s="9" t="s">
        <v>41</v>
      </c>
      <c r="C8" s="9" t="s">
        <v>32</v>
      </c>
      <c r="D8" s="9" t="s">
        <v>33</v>
      </c>
      <c r="E8" s="9">
        <v>50000</v>
      </c>
      <c r="F8" s="9">
        <v>4</v>
      </c>
      <c r="G8" s="9" t="s">
        <v>39</v>
      </c>
      <c r="H8" s="9">
        <v>42000</v>
      </c>
    </row>
    <row r="9" spans="1:8" x14ac:dyDescent="0.3">
      <c r="A9" s="9" t="s">
        <v>42</v>
      </c>
      <c r="B9" s="9" t="s">
        <v>43</v>
      </c>
      <c r="C9" s="9" t="s">
        <v>44</v>
      </c>
      <c r="D9" s="9" t="s">
        <v>45</v>
      </c>
      <c r="E9" s="9">
        <v>55000</v>
      </c>
      <c r="F9" s="9">
        <v>5</v>
      </c>
      <c r="G9" s="9" t="s">
        <v>34</v>
      </c>
      <c r="H9" s="9">
        <v>38000</v>
      </c>
    </row>
    <row r="10" spans="1:8" x14ac:dyDescent="0.3">
      <c r="A10" s="9" t="s">
        <v>46</v>
      </c>
      <c r="B10" s="9" t="s">
        <v>47</v>
      </c>
      <c r="C10" s="9" t="s">
        <v>48</v>
      </c>
      <c r="D10" s="9" t="s">
        <v>33</v>
      </c>
      <c r="E10" s="9">
        <v>38000</v>
      </c>
      <c r="F10" s="9">
        <v>1</v>
      </c>
      <c r="G10" s="9" t="s">
        <v>49</v>
      </c>
      <c r="H10" s="9">
        <v>22000</v>
      </c>
    </row>
    <row r="11" spans="1:8" x14ac:dyDescent="0.3">
      <c r="A11" s="9" t="s">
        <v>50</v>
      </c>
      <c r="B11" s="9" t="s">
        <v>51</v>
      </c>
      <c r="C11" s="9" t="s">
        <v>32</v>
      </c>
      <c r="D11" s="9" t="s">
        <v>52</v>
      </c>
      <c r="E11" s="9">
        <v>60000</v>
      </c>
      <c r="F11" s="9">
        <v>6</v>
      </c>
      <c r="G11" s="9" t="s">
        <v>39</v>
      </c>
      <c r="H11" s="9">
        <v>55000</v>
      </c>
    </row>
    <row r="12" spans="1:8" x14ac:dyDescent="0.3">
      <c r="A12" s="9" t="s">
        <v>53</v>
      </c>
      <c r="B12" s="9" t="s">
        <v>54</v>
      </c>
      <c r="C12" s="9" t="s">
        <v>37</v>
      </c>
      <c r="D12" s="9" t="s">
        <v>33</v>
      </c>
      <c r="E12" s="9">
        <v>42000</v>
      </c>
      <c r="F12" s="9">
        <v>2</v>
      </c>
      <c r="G12" s="9" t="s">
        <v>34</v>
      </c>
      <c r="H12" s="9">
        <v>28000</v>
      </c>
    </row>
    <row r="13" spans="1:8" x14ac:dyDescent="0.3">
      <c r="A13" s="9" t="s">
        <v>55</v>
      </c>
      <c r="B13" s="9" t="s">
        <v>56</v>
      </c>
      <c r="C13" s="9" t="s">
        <v>44</v>
      </c>
      <c r="D13" s="9" t="s">
        <v>38</v>
      </c>
      <c r="E13" s="9">
        <v>52000</v>
      </c>
      <c r="F13" s="9">
        <v>5</v>
      </c>
      <c r="G13" s="9" t="s">
        <v>39</v>
      </c>
      <c r="H13" s="9">
        <v>46000</v>
      </c>
    </row>
    <row r="14" spans="1:8" x14ac:dyDescent="0.3">
      <c r="A14" s="9" t="s">
        <v>57</v>
      </c>
      <c r="B14" s="9" t="s">
        <v>58</v>
      </c>
      <c r="C14" s="9" t="s">
        <v>48</v>
      </c>
      <c r="D14" s="9" t="s">
        <v>59</v>
      </c>
      <c r="E14" s="9">
        <v>39000</v>
      </c>
      <c r="F14" s="9">
        <v>2</v>
      </c>
      <c r="G14" s="9" t="s">
        <v>49</v>
      </c>
      <c r="H14" s="9">
        <v>24000</v>
      </c>
    </row>
    <row r="15" spans="1:8" x14ac:dyDescent="0.3">
      <c r="A15" s="9" t="s">
        <v>60</v>
      </c>
      <c r="B15" s="9" t="s">
        <v>61</v>
      </c>
      <c r="C15" s="9" t="s">
        <v>32</v>
      </c>
      <c r="D15" s="9" t="s">
        <v>62</v>
      </c>
      <c r="E15" s="9">
        <v>65000</v>
      </c>
      <c r="F15" s="9">
        <v>7</v>
      </c>
      <c r="G15" s="9" t="s">
        <v>39</v>
      </c>
      <c r="H15" s="9">
        <v>62000</v>
      </c>
    </row>
    <row r="16" spans="1:8" x14ac:dyDescent="0.3">
      <c r="A16" s="9" t="s">
        <v>63</v>
      </c>
      <c r="B16" s="9" t="s">
        <v>64</v>
      </c>
      <c r="C16" s="9" t="s">
        <v>32</v>
      </c>
      <c r="D16" s="9" t="s">
        <v>45</v>
      </c>
      <c r="E16" s="9">
        <v>32000</v>
      </c>
      <c r="F16" s="9">
        <v>13</v>
      </c>
      <c r="G16" s="9" t="s">
        <v>34</v>
      </c>
      <c r="H16" s="9">
        <v>24252</v>
      </c>
    </row>
    <row r="17" spans="1:8" x14ac:dyDescent="0.3">
      <c r="A17" s="9" t="s">
        <v>65</v>
      </c>
      <c r="B17" s="9" t="s">
        <v>66</v>
      </c>
      <c r="C17" s="9" t="s">
        <v>67</v>
      </c>
      <c r="D17" s="9" t="s">
        <v>68</v>
      </c>
      <c r="E17" s="9">
        <v>55000</v>
      </c>
      <c r="F17" s="9">
        <v>11</v>
      </c>
      <c r="G17" s="9" t="s">
        <v>34</v>
      </c>
      <c r="H17" s="9">
        <v>80706</v>
      </c>
    </row>
    <row r="18" spans="1:8" x14ac:dyDescent="0.3">
      <c r="A18" s="9" t="s">
        <v>69</v>
      </c>
      <c r="B18" s="9" t="s">
        <v>70</v>
      </c>
      <c r="C18" s="9" t="s">
        <v>37</v>
      </c>
      <c r="D18" s="9" t="s">
        <v>59</v>
      </c>
      <c r="E18" s="9">
        <v>45000</v>
      </c>
      <c r="F18" s="9">
        <v>4</v>
      </c>
      <c r="G18" s="9" t="s">
        <v>49</v>
      </c>
      <c r="H18" s="9">
        <v>48142</v>
      </c>
    </row>
    <row r="19" spans="1:8" x14ac:dyDescent="0.3">
      <c r="A19" s="9" t="s">
        <v>71</v>
      </c>
      <c r="B19" s="9" t="s">
        <v>72</v>
      </c>
      <c r="C19" s="9" t="s">
        <v>48</v>
      </c>
      <c r="D19" s="9" t="s">
        <v>62</v>
      </c>
      <c r="E19" s="9">
        <v>74000</v>
      </c>
      <c r="F19" s="9">
        <v>4</v>
      </c>
      <c r="G19" s="9" t="s">
        <v>73</v>
      </c>
      <c r="H19" s="9">
        <v>45072</v>
      </c>
    </row>
    <row r="20" spans="1:8" x14ac:dyDescent="0.3">
      <c r="A20" s="9" t="s">
        <v>74</v>
      </c>
      <c r="B20" s="9" t="s">
        <v>75</v>
      </c>
      <c r="C20" s="9" t="s">
        <v>32</v>
      </c>
      <c r="D20" s="9" t="s">
        <v>38</v>
      </c>
      <c r="E20" s="9">
        <v>47000</v>
      </c>
      <c r="F20" s="9">
        <v>11</v>
      </c>
      <c r="G20" s="9" t="s">
        <v>39</v>
      </c>
      <c r="H20" s="9">
        <v>57930</v>
      </c>
    </row>
    <row r="21" spans="1:8" x14ac:dyDescent="0.3">
      <c r="A21" s="9" t="s">
        <v>76</v>
      </c>
      <c r="B21" s="9" t="s">
        <v>77</v>
      </c>
      <c r="C21" s="9" t="s">
        <v>48</v>
      </c>
      <c r="D21" s="9" t="s">
        <v>62</v>
      </c>
      <c r="E21" s="9">
        <v>87000</v>
      </c>
      <c r="F21" s="9">
        <v>9</v>
      </c>
      <c r="G21" s="9" t="s">
        <v>34</v>
      </c>
      <c r="H21" s="9">
        <v>94500</v>
      </c>
    </row>
    <row r="22" spans="1:8" x14ac:dyDescent="0.3">
      <c r="A22" s="9" t="s">
        <v>78</v>
      </c>
      <c r="B22" s="9" t="s">
        <v>79</v>
      </c>
      <c r="C22" s="9" t="s">
        <v>67</v>
      </c>
      <c r="D22" s="9" t="s">
        <v>59</v>
      </c>
      <c r="E22" s="9">
        <v>71000</v>
      </c>
      <c r="F22" s="9">
        <v>2</v>
      </c>
      <c r="G22" s="9" t="s">
        <v>34</v>
      </c>
      <c r="H22" s="9">
        <v>44863</v>
      </c>
    </row>
    <row r="23" spans="1:8" x14ac:dyDescent="0.3">
      <c r="A23" s="9" t="s">
        <v>80</v>
      </c>
      <c r="B23" s="9" t="s">
        <v>81</v>
      </c>
      <c r="C23" s="9" t="s">
        <v>82</v>
      </c>
      <c r="D23" s="9" t="s">
        <v>83</v>
      </c>
      <c r="E23" s="9">
        <v>92000</v>
      </c>
      <c r="F23" s="9">
        <v>15</v>
      </c>
      <c r="G23" s="9" t="s">
        <v>39</v>
      </c>
      <c r="H23" s="9">
        <v>107556</v>
      </c>
    </row>
    <row r="24" spans="1:8" x14ac:dyDescent="0.3">
      <c r="A24" s="9" t="s">
        <v>84</v>
      </c>
      <c r="B24" s="9" t="s">
        <v>85</v>
      </c>
      <c r="C24" s="9" t="s">
        <v>82</v>
      </c>
      <c r="D24" s="9" t="s">
        <v>45</v>
      </c>
      <c r="E24" s="9">
        <v>47000</v>
      </c>
      <c r="F24" s="9">
        <v>6</v>
      </c>
      <c r="G24" s="9" t="s">
        <v>49</v>
      </c>
      <c r="H24" s="9">
        <v>50303</v>
      </c>
    </row>
    <row r="25" spans="1:8" x14ac:dyDescent="0.3">
      <c r="A25" s="9" t="s">
        <v>86</v>
      </c>
      <c r="B25" s="9" t="s">
        <v>87</v>
      </c>
      <c r="C25" s="9" t="s">
        <v>32</v>
      </c>
      <c r="D25" s="9" t="s">
        <v>68</v>
      </c>
      <c r="E25" s="9">
        <v>90000</v>
      </c>
      <c r="F25" s="9">
        <v>1</v>
      </c>
      <c r="G25" s="9" t="s">
        <v>39</v>
      </c>
      <c r="H25" s="9">
        <v>78068</v>
      </c>
    </row>
    <row r="26" spans="1:8" x14ac:dyDescent="0.3">
      <c r="A26" s="9" t="s">
        <v>88</v>
      </c>
      <c r="B26" s="9" t="s">
        <v>89</v>
      </c>
      <c r="C26" s="9" t="s">
        <v>32</v>
      </c>
      <c r="D26" s="9" t="s">
        <v>45</v>
      </c>
      <c r="E26" s="9">
        <v>38000</v>
      </c>
      <c r="F26" s="9">
        <v>2</v>
      </c>
      <c r="G26" s="9" t="s">
        <v>49</v>
      </c>
      <c r="H26" s="9">
        <v>52760</v>
      </c>
    </row>
    <row r="27" spans="1:8" x14ac:dyDescent="0.3">
      <c r="A27" s="9" t="s">
        <v>90</v>
      </c>
      <c r="B27" s="9" t="s">
        <v>91</v>
      </c>
      <c r="C27" s="9" t="s">
        <v>37</v>
      </c>
      <c r="D27" s="9" t="s">
        <v>83</v>
      </c>
      <c r="E27" s="9">
        <v>88000</v>
      </c>
      <c r="F27" s="9">
        <v>9</v>
      </c>
      <c r="G27" s="9" t="s">
        <v>39</v>
      </c>
      <c r="H27" s="9">
        <v>93000</v>
      </c>
    </row>
    <row r="28" spans="1:8" x14ac:dyDescent="0.3">
      <c r="A28" s="9" t="s">
        <v>92</v>
      </c>
      <c r="B28" s="9" t="s">
        <v>93</v>
      </c>
      <c r="C28" s="9" t="s">
        <v>37</v>
      </c>
      <c r="D28" s="9" t="s">
        <v>45</v>
      </c>
      <c r="E28" s="9">
        <v>67000</v>
      </c>
      <c r="F28" s="9">
        <v>7</v>
      </c>
      <c r="G28" s="9" t="s">
        <v>73</v>
      </c>
      <c r="H28" s="9">
        <v>80223</v>
      </c>
    </row>
    <row r="29" spans="1:8" x14ac:dyDescent="0.3">
      <c r="A29" s="9" t="s">
        <v>94</v>
      </c>
      <c r="B29" s="9" t="s">
        <v>95</v>
      </c>
      <c r="C29" s="9" t="s">
        <v>48</v>
      </c>
      <c r="D29" s="9" t="s">
        <v>38</v>
      </c>
      <c r="E29" s="9">
        <v>59000</v>
      </c>
      <c r="F29" s="9">
        <v>4</v>
      </c>
      <c r="G29" s="9" t="s">
        <v>39</v>
      </c>
      <c r="H29" s="9">
        <v>27977</v>
      </c>
    </row>
    <row r="30" spans="1:8" x14ac:dyDescent="0.3">
      <c r="A30" s="9" t="s">
        <v>96</v>
      </c>
      <c r="B30" s="9" t="s">
        <v>97</v>
      </c>
      <c r="C30" s="9" t="s">
        <v>82</v>
      </c>
      <c r="D30" s="9" t="s">
        <v>45</v>
      </c>
      <c r="E30" s="9">
        <v>28000</v>
      </c>
      <c r="F30" s="9">
        <v>2</v>
      </c>
      <c r="G30" s="9" t="s">
        <v>49</v>
      </c>
      <c r="H30" s="9">
        <v>14495</v>
      </c>
    </row>
    <row r="31" spans="1:8" x14ac:dyDescent="0.3">
      <c r="A31" s="9" t="s">
        <v>98</v>
      </c>
      <c r="B31" s="9" t="s">
        <v>99</v>
      </c>
      <c r="C31" s="9" t="s">
        <v>44</v>
      </c>
      <c r="D31" s="9" t="s">
        <v>38</v>
      </c>
      <c r="E31" s="9">
        <v>93000</v>
      </c>
      <c r="F31" s="9">
        <v>4</v>
      </c>
      <c r="G31" s="9" t="s">
        <v>34</v>
      </c>
      <c r="H31" s="9">
        <v>93765</v>
      </c>
    </row>
    <row r="32" spans="1:8" x14ac:dyDescent="0.3">
      <c r="A32" s="9" t="s">
        <v>100</v>
      </c>
      <c r="B32" s="9" t="s">
        <v>101</v>
      </c>
      <c r="C32" s="9" t="s">
        <v>67</v>
      </c>
      <c r="D32" s="9" t="s">
        <v>52</v>
      </c>
      <c r="E32" s="9">
        <v>59000</v>
      </c>
      <c r="F32" s="9">
        <v>13</v>
      </c>
      <c r="G32" s="9" t="s">
        <v>34</v>
      </c>
      <c r="H32" s="9">
        <v>54169</v>
      </c>
    </row>
    <row r="33" spans="1:8" x14ac:dyDescent="0.3">
      <c r="A33" s="9" t="s">
        <v>102</v>
      </c>
      <c r="B33" s="9" t="s">
        <v>103</v>
      </c>
      <c r="C33" s="9" t="s">
        <v>67</v>
      </c>
      <c r="D33" s="9" t="s">
        <v>62</v>
      </c>
      <c r="E33" s="9">
        <v>73000</v>
      </c>
      <c r="F33" s="9">
        <v>7</v>
      </c>
      <c r="G33" s="9" t="s">
        <v>34</v>
      </c>
      <c r="H33" s="9">
        <v>105369</v>
      </c>
    </row>
    <row r="34" spans="1:8" x14ac:dyDescent="0.3">
      <c r="A34" s="9" t="s">
        <v>104</v>
      </c>
      <c r="B34" s="9" t="s">
        <v>105</v>
      </c>
      <c r="C34" s="9" t="s">
        <v>32</v>
      </c>
      <c r="D34" s="9" t="s">
        <v>62</v>
      </c>
      <c r="E34" s="9">
        <v>71000</v>
      </c>
      <c r="F34" s="9">
        <v>13</v>
      </c>
      <c r="G34" s="9" t="s">
        <v>49</v>
      </c>
      <c r="H34" s="9">
        <v>52252</v>
      </c>
    </row>
    <row r="35" spans="1:8" x14ac:dyDescent="0.3">
      <c r="A35" s="9" t="s">
        <v>106</v>
      </c>
      <c r="B35" s="9" t="s">
        <v>107</v>
      </c>
      <c r="C35" s="9" t="s">
        <v>48</v>
      </c>
      <c r="D35" s="9" t="s">
        <v>83</v>
      </c>
      <c r="E35" s="9">
        <v>82000</v>
      </c>
      <c r="F35" s="9">
        <v>3</v>
      </c>
      <c r="G35" s="9" t="s">
        <v>34</v>
      </c>
      <c r="H35" s="9">
        <v>60456</v>
      </c>
    </row>
    <row r="36" spans="1:8" x14ac:dyDescent="0.3">
      <c r="A36" s="9" t="s">
        <v>108</v>
      </c>
      <c r="B36" s="9" t="s">
        <v>109</v>
      </c>
      <c r="C36" s="9" t="s">
        <v>82</v>
      </c>
      <c r="D36" s="9" t="s">
        <v>38</v>
      </c>
      <c r="E36" s="9">
        <v>34000</v>
      </c>
      <c r="F36" s="9">
        <v>11</v>
      </c>
      <c r="G36" s="9" t="s">
        <v>73</v>
      </c>
      <c r="H36" s="9">
        <v>47988</v>
      </c>
    </row>
    <row r="37" spans="1:8" x14ac:dyDescent="0.3">
      <c r="A37" s="9" t="s">
        <v>110</v>
      </c>
      <c r="B37" s="9" t="s">
        <v>111</v>
      </c>
      <c r="C37" s="9" t="s">
        <v>37</v>
      </c>
      <c r="D37" s="9" t="s">
        <v>62</v>
      </c>
      <c r="E37" s="9">
        <v>90000</v>
      </c>
      <c r="F37" s="9">
        <v>8</v>
      </c>
      <c r="G37" s="9" t="s">
        <v>34</v>
      </c>
      <c r="H37" s="9">
        <v>82007</v>
      </c>
    </row>
    <row r="38" spans="1:8" x14ac:dyDescent="0.3">
      <c r="A38" s="9" t="s">
        <v>112</v>
      </c>
      <c r="B38" s="9" t="s">
        <v>113</v>
      </c>
      <c r="C38" s="9" t="s">
        <v>48</v>
      </c>
      <c r="D38" s="9" t="s">
        <v>33</v>
      </c>
      <c r="E38" s="9">
        <v>77000</v>
      </c>
      <c r="F38" s="9">
        <v>5</v>
      </c>
      <c r="G38" s="9" t="s">
        <v>73</v>
      </c>
      <c r="H38" s="9">
        <v>104173</v>
      </c>
    </row>
    <row r="39" spans="1:8" x14ac:dyDescent="0.3">
      <c r="A39" s="9" t="s">
        <v>114</v>
      </c>
      <c r="B39" s="9" t="s">
        <v>115</v>
      </c>
      <c r="C39" s="9" t="s">
        <v>67</v>
      </c>
      <c r="D39" s="9" t="s">
        <v>52</v>
      </c>
      <c r="E39" s="9">
        <v>47000</v>
      </c>
      <c r="F39" s="9">
        <v>4</v>
      </c>
      <c r="G39" s="9" t="s">
        <v>34</v>
      </c>
      <c r="H39" s="9">
        <v>73508</v>
      </c>
    </row>
    <row r="40" spans="1:8" x14ac:dyDescent="0.3">
      <c r="A40" s="9" t="s">
        <v>116</v>
      </c>
      <c r="B40" s="9" t="s">
        <v>117</v>
      </c>
      <c r="C40" s="9" t="s">
        <v>32</v>
      </c>
      <c r="D40" s="9" t="s">
        <v>68</v>
      </c>
      <c r="E40" s="9">
        <v>35000</v>
      </c>
      <c r="F40" s="9">
        <v>1</v>
      </c>
      <c r="G40" s="9" t="s">
        <v>34</v>
      </c>
      <c r="H40" s="9">
        <v>35989</v>
      </c>
    </row>
    <row r="41" spans="1:8" x14ac:dyDescent="0.3">
      <c r="A41" s="9" t="s">
        <v>118</v>
      </c>
      <c r="B41" s="9" t="s">
        <v>119</v>
      </c>
      <c r="C41" s="9" t="s">
        <v>32</v>
      </c>
      <c r="D41" s="9" t="s">
        <v>38</v>
      </c>
      <c r="E41" s="9">
        <v>51000</v>
      </c>
      <c r="F41" s="9">
        <v>2</v>
      </c>
      <c r="G41" s="9" t="s">
        <v>34</v>
      </c>
      <c r="H41" s="9">
        <v>62551</v>
      </c>
    </row>
    <row r="42" spans="1:8" x14ac:dyDescent="0.3">
      <c r="A42" s="9" t="s">
        <v>120</v>
      </c>
      <c r="B42" s="9" t="s">
        <v>121</v>
      </c>
      <c r="C42" s="9" t="s">
        <v>32</v>
      </c>
      <c r="D42" s="9" t="s">
        <v>45</v>
      </c>
      <c r="E42" s="9">
        <v>33000</v>
      </c>
      <c r="F42" s="9">
        <v>10</v>
      </c>
      <c r="G42" s="9" t="s">
        <v>39</v>
      </c>
      <c r="H42" s="9">
        <v>39797</v>
      </c>
    </row>
    <row r="43" spans="1:8" x14ac:dyDescent="0.3">
      <c r="A43" s="9" t="s">
        <v>122</v>
      </c>
      <c r="B43" s="9" t="s">
        <v>123</v>
      </c>
      <c r="C43" s="9" t="s">
        <v>44</v>
      </c>
      <c r="D43" s="9" t="s">
        <v>59</v>
      </c>
      <c r="E43" s="9">
        <v>54000</v>
      </c>
      <c r="F43" s="9">
        <v>11</v>
      </c>
      <c r="G43" s="9" t="s">
        <v>49</v>
      </c>
      <c r="H43" s="9">
        <v>39122</v>
      </c>
    </row>
    <row r="44" spans="1:8" x14ac:dyDescent="0.3">
      <c r="A44" s="9" t="s">
        <v>124</v>
      </c>
      <c r="B44" s="9" t="s">
        <v>125</v>
      </c>
      <c r="C44" s="9" t="s">
        <v>67</v>
      </c>
      <c r="D44" s="9" t="s">
        <v>59</v>
      </c>
      <c r="E44" s="9">
        <v>86000</v>
      </c>
      <c r="F44" s="9">
        <v>6</v>
      </c>
      <c r="G44" s="9" t="s">
        <v>73</v>
      </c>
      <c r="H44" s="9">
        <v>131244</v>
      </c>
    </row>
    <row r="45" spans="1:8" x14ac:dyDescent="0.3">
      <c r="A45" s="9" t="s">
        <v>126</v>
      </c>
      <c r="B45" s="9" t="s">
        <v>127</v>
      </c>
      <c r="C45" s="9" t="s">
        <v>82</v>
      </c>
      <c r="D45" s="9" t="s">
        <v>38</v>
      </c>
      <c r="E45" s="9">
        <v>37000</v>
      </c>
      <c r="F45" s="9">
        <v>9</v>
      </c>
      <c r="G45" s="9" t="s">
        <v>34</v>
      </c>
      <c r="H45" s="9">
        <v>27934</v>
      </c>
    </row>
    <row r="46" spans="1:8" x14ac:dyDescent="0.3">
      <c r="A46" s="9" t="s">
        <v>128</v>
      </c>
      <c r="B46" s="9" t="s">
        <v>129</v>
      </c>
      <c r="C46" s="9" t="s">
        <v>37</v>
      </c>
      <c r="D46" s="9" t="s">
        <v>68</v>
      </c>
      <c r="E46" s="9">
        <v>64000</v>
      </c>
      <c r="F46" s="9">
        <v>3</v>
      </c>
      <c r="G46" s="9" t="s">
        <v>34</v>
      </c>
      <c r="H46" s="9">
        <v>68780</v>
      </c>
    </row>
    <row r="47" spans="1:8" x14ac:dyDescent="0.3">
      <c r="A47" s="9" t="s">
        <v>130</v>
      </c>
      <c r="B47" s="9" t="s">
        <v>131</v>
      </c>
      <c r="C47" s="9" t="s">
        <v>67</v>
      </c>
      <c r="D47" s="9" t="s">
        <v>33</v>
      </c>
      <c r="E47" s="9">
        <v>66000</v>
      </c>
      <c r="F47" s="9">
        <v>15</v>
      </c>
      <c r="G47" s="9" t="s">
        <v>49</v>
      </c>
      <c r="H47" s="9">
        <v>100964</v>
      </c>
    </row>
    <row r="48" spans="1:8" x14ac:dyDescent="0.3">
      <c r="A48" s="9" t="s">
        <v>132</v>
      </c>
      <c r="B48" s="9" t="s">
        <v>133</v>
      </c>
      <c r="C48" s="9" t="s">
        <v>32</v>
      </c>
      <c r="D48" s="9" t="s">
        <v>38</v>
      </c>
      <c r="E48" s="9">
        <v>47000</v>
      </c>
      <c r="F48" s="9">
        <v>5</v>
      </c>
      <c r="G48" s="9" t="s">
        <v>34</v>
      </c>
      <c r="H48" s="9">
        <v>32534</v>
      </c>
    </row>
    <row r="49" spans="1:8" x14ac:dyDescent="0.3">
      <c r="A49" s="9" t="s">
        <v>134</v>
      </c>
      <c r="B49" s="9" t="s">
        <v>135</v>
      </c>
      <c r="C49" s="9" t="s">
        <v>67</v>
      </c>
      <c r="D49" s="9" t="s">
        <v>59</v>
      </c>
      <c r="E49" s="9">
        <v>92000</v>
      </c>
      <c r="F49" s="9">
        <v>8</v>
      </c>
      <c r="G49" s="9" t="s">
        <v>34</v>
      </c>
      <c r="H49" s="9">
        <v>137483</v>
      </c>
    </row>
    <row r="50" spans="1:8" x14ac:dyDescent="0.3">
      <c r="A50" s="9" t="s">
        <v>136</v>
      </c>
      <c r="B50" s="9" t="s">
        <v>137</v>
      </c>
      <c r="C50" s="9" t="s">
        <v>67</v>
      </c>
      <c r="D50" s="9" t="s">
        <v>62</v>
      </c>
      <c r="E50" s="9">
        <v>63000</v>
      </c>
      <c r="F50" s="9">
        <v>1</v>
      </c>
      <c r="G50" s="9" t="s">
        <v>39</v>
      </c>
      <c r="H50" s="9">
        <v>84217</v>
      </c>
    </row>
    <row r="51" spans="1:8" x14ac:dyDescent="0.3">
      <c r="A51" s="9" t="s">
        <v>138</v>
      </c>
      <c r="B51" s="9" t="s">
        <v>139</v>
      </c>
      <c r="C51" s="9" t="s">
        <v>37</v>
      </c>
      <c r="D51" s="9" t="s">
        <v>52</v>
      </c>
      <c r="E51" s="9">
        <v>82000</v>
      </c>
      <c r="F51" s="9">
        <v>9</v>
      </c>
      <c r="G51" s="9" t="s">
        <v>39</v>
      </c>
      <c r="H51" s="9">
        <v>43995</v>
      </c>
    </row>
    <row r="52" spans="1:8" x14ac:dyDescent="0.3">
      <c r="A52" s="9" t="s">
        <v>140</v>
      </c>
      <c r="B52" s="9" t="s">
        <v>141</v>
      </c>
      <c r="C52" s="9" t="s">
        <v>82</v>
      </c>
      <c r="D52" s="9" t="s">
        <v>33</v>
      </c>
      <c r="E52" s="9">
        <v>75000</v>
      </c>
      <c r="F52" s="9">
        <v>10</v>
      </c>
      <c r="G52" s="9" t="s">
        <v>34</v>
      </c>
      <c r="H52" s="9">
        <v>70819</v>
      </c>
    </row>
    <row r="53" spans="1:8" x14ac:dyDescent="0.3">
      <c r="A53" s="9" t="s">
        <v>142</v>
      </c>
      <c r="B53" s="9" t="s">
        <v>143</v>
      </c>
      <c r="C53" s="9" t="s">
        <v>44</v>
      </c>
      <c r="D53" s="9" t="s">
        <v>33</v>
      </c>
      <c r="E53" s="9">
        <v>73000</v>
      </c>
      <c r="F53" s="9">
        <v>4</v>
      </c>
      <c r="G53" s="9" t="s">
        <v>49</v>
      </c>
      <c r="H53" s="9">
        <v>88839</v>
      </c>
    </row>
    <row r="54" spans="1:8" x14ac:dyDescent="0.3">
      <c r="A54" s="9" t="s">
        <v>144</v>
      </c>
      <c r="B54" s="9" t="s">
        <v>145</v>
      </c>
      <c r="C54" s="9" t="s">
        <v>48</v>
      </c>
      <c r="D54" s="9" t="s">
        <v>83</v>
      </c>
      <c r="E54" s="9">
        <v>58000</v>
      </c>
      <c r="F54" s="9">
        <v>14</v>
      </c>
      <c r="G54" s="9" t="s">
        <v>39</v>
      </c>
      <c r="H54" s="9">
        <v>79452</v>
      </c>
    </row>
    <row r="55" spans="1:8" x14ac:dyDescent="0.3">
      <c r="A55" s="9" t="s">
        <v>146</v>
      </c>
      <c r="B55" s="9" t="s">
        <v>147</v>
      </c>
      <c r="C55" s="9" t="s">
        <v>32</v>
      </c>
      <c r="D55" s="9" t="s">
        <v>83</v>
      </c>
      <c r="E55" s="9">
        <v>70000</v>
      </c>
      <c r="F55" s="9">
        <v>13</v>
      </c>
      <c r="G55" s="9" t="s">
        <v>73</v>
      </c>
      <c r="H55" s="9">
        <v>96079</v>
      </c>
    </row>
    <row r="60" spans="1:8" x14ac:dyDescent="0.3">
      <c r="A60" s="10" t="s">
        <v>148</v>
      </c>
      <c r="B60" s="10" t="s">
        <v>149</v>
      </c>
      <c r="C60" s="10" t="s">
        <v>150</v>
      </c>
      <c r="D60" s="10" t="s">
        <v>151</v>
      </c>
      <c r="E60" s="10" t="s">
        <v>152</v>
      </c>
      <c r="F60" s="21" t="s">
        <v>153</v>
      </c>
      <c r="G60" s="39" t="s">
        <v>515</v>
      </c>
      <c r="H60" s="39" t="s">
        <v>516</v>
      </c>
    </row>
    <row r="61" spans="1:8" ht="28.8" x14ac:dyDescent="0.3">
      <c r="A61" s="11">
        <v>1</v>
      </c>
      <c r="B61" s="11" t="s">
        <v>344</v>
      </c>
      <c r="C61" s="12" t="s">
        <v>3</v>
      </c>
      <c r="D61" s="11" t="s">
        <v>345</v>
      </c>
      <c r="E61" s="11" t="str">
        <f>IF($E$6&gt;=70000,"A",IF($E$6&gt;=50000,"B",IF($E$6&gt;=35000,"C","D")))</f>
        <v>C</v>
      </c>
      <c r="F61" s="22" t="s">
        <v>346</v>
      </c>
      <c r="G61" s="33">
        <v>1</v>
      </c>
      <c r="H61" s="33" t="str">
        <f>IF(E5&gt;=70000,"A",IF(E5&gt;=50000,"B",IF(E5&gt;=35000,"C","D")))</f>
        <v>A</v>
      </c>
    </row>
    <row r="62" spans="1:8" ht="28.8" x14ac:dyDescent="0.3">
      <c r="A62" s="11">
        <v>2</v>
      </c>
      <c r="B62" s="11" t="s">
        <v>347</v>
      </c>
      <c r="C62" s="12" t="s">
        <v>3</v>
      </c>
      <c r="D62" s="11" t="s">
        <v>348</v>
      </c>
      <c r="E62" s="11" t="str">
        <f>IF($G$6="Excellent","Top",IF($G$6="Good","Good","Needs Improvement"))</f>
        <v>Good</v>
      </c>
      <c r="F62" s="22" t="s">
        <v>346</v>
      </c>
      <c r="G62" s="33">
        <v>2</v>
      </c>
      <c r="H62" s="33" t="str">
        <f>IF(G5="Excellent","Top",IF(G5="Good","Good","Needs Improvement"))</f>
        <v>Needs Improvement</v>
      </c>
    </row>
    <row r="63" spans="1:8" ht="28.8" x14ac:dyDescent="0.3">
      <c r="A63" s="11">
        <v>3</v>
      </c>
      <c r="B63" s="11" t="s">
        <v>349</v>
      </c>
      <c r="C63" s="12" t="s">
        <v>3</v>
      </c>
      <c r="D63" s="11" t="s">
        <v>350</v>
      </c>
      <c r="E63" s="11" t="str">
        <f>IF($F$6&lt;3,"Level 1",IF($F$6&lt;=6,"Level 2","Level 3"))</f>
        <v>Level 1</v>
      </c>
      <c r="F63" s="22" t="s">
        <v>346</v>
      </c>
      <c r="G63" s="33">
        <v>3</v>
      </c>
      <c r="H63" s="33" t="str">
        <f>IF(F5&lt;3,"Level 1",IF(F5&lt;=6,"Level 2","Level 3"))</f>
        <v>Level 3</v>
      </c>
    </row>
    <row r="64" spans="1:8" ht="28.8" x14ac:dyDescent="0.3">
      <c r="A64" s="11">
        <v>4</v>
      </c>
      <c r="B64" s="11" t="s">
        <v>351</v>
      </c>
      <c r="C64" s="13" t="s">
        <v>4</v>
      </c>
      <c r="D64" s="11" t="s">
        <v>352</v>
      </c>
      <c r="E64" s="11" t="str">
        <f>IF($E$6&gt;=90000,"A+",IF($E$6&gt;=80000,"A",IF($E$6&gt;=70000,"B",IF($E$6&gt;=60000,"C","D"))))</f>
        <v>D</v>
      </c>
      <c r="F64" s="22" t="s">
        <v>346</v>
      </c>
      <c r="G64" s="33">
        <v>4</v>
      </c>
      <c r="H64" s="33" t="str">
        <f>IF(E5&gt;=90000,"A+",IF(E5&gt;=80000,"A",IF(E5&gt;=70000,"B",IF(E5&gt;=60000,"C","D"))))</f>
        <v>A+</v>
      </c>
    </row>
    <row r="65" spans="1:8" ht="28.8" x14ac:dyDescent="0.3">
      <c r="A65" s="11">
        <v>5</v>
      </c>
      <c r="B65" s="11" t="s">
        <v>353</v>
      </c>
      <c r="C65" s="13" t="s">
        <v>4</v>
      </c>
      <c r="D65" s="11" t="s">
        <v>354</v>
      </c>
      <c r="E65" s="11" t="str">
        <f>IF($E$6&gt;=80000,"Gold",IF($E$6&gt;=60000,"Silver",IF($E$6&gt;=40000,"Bronze","None")))</f>
        <v>Bronze</v>
      </c>
      <c r="F65" s="22" t="s">
        <v>346</v>
      </c>
      <c r="G65" s="33">
        <v>5</v>
      </c>
      <c r="H65" s="33" t="str">
        <f>IF(E5&gt;=80000,"Gold",IF(E5&gt;=60000,"Silver",IF(E5&gt;=40000,"Bronze","None")))</f>
        <v>Gold</v>
      </c>
    </row>
    <row r="66" spans="1:8" ht="28.8" x14ac:dyDescent="0.3">
      <c r="A66" s="11">
        <v>6</v>
      </c>
      <c r="B66" s="11" t="s">
        <v>355</v>
      </c>
      <c r="C66" s="13" t="s">
        <v>4</v>
      </c>
      <c r="D66" s="11" t="s">
        <v>356</v>
      </c>
      <c r="E66" s="11" t="str">
        <f>IF($F$6&lt;=2,"Junior",IF($F$6&lt;=6,"Mid","Senior"))</f>
        <v>Junior</v>
      </c>
      <c r="F66" s="22" t="s">
        <v>346</v>
      </c>
      <c r="G66" s="33">
        <v>6</v>
      </c>
      <c r="H66" s="33" t="str">
        <f>IF(F5&lt;=2,"Junior",IF(F5&lt;=6,"Mid","Senior"))</f>
        <v>Senior</v>
      </c>
    </row>
    <row r="67" spans="1:8" ht="28.8" x14ac:dyDescent="0.3">
      <c r="A67" s="11">
        <v>7</v>
      </c>
      <c r="B67" s="11" t="s">
        <v>357</v>
      </c>
      <c r="C67" s="14" t="s">
        <v>5</v>
      </c>
      <c r="D67" s="11" t="s">
        <v>358</v>
      </c>
      <c r="E67" s="11" t="str">
        <f>IF(VLOOKUP("E103",$A$6:$H$55,5,FALSE)&gt;=70000,"A",IF(VLOOKUP("E103",$A$6:$H$55,5,FALSE)&gt;=50000,"B",IF(VLOOKUP("E103",$A$6:$H$55,5,FALSE)&gt;=35000,"C","D")))</f>
        <v>B</v>
      </c>
      <c r="F67" s="22" t="s">
        <v>346</v>
      </c>
      <c r="G67" s="33">
        <v>7</v>
      </c>
      <c r="H67" s="33" t="str">
        <f>IF(VLOOKUP("E105",A6:H55,5,FALSE)&gt;=70000,"A",IF(VLOOKUP("E105",A6:H55,5,FALSE)&gt;=50000,"B",IF(VLOOKUP("E103",A6:H55,5,FALSE)&gt;=35000,"C","D")))</f>
        <v>C</v>
      </c>
    </row>
    <row r="68" spans="1:8" ht="28.8" x14ac:dyDescent="0.3">
      <c r="A68" s="11">
        <v>8</v>
      </c>
      <c r="B68" s="11" t="s">
        <v>359</v>
      </c>
      <c r="C68" s="14" t="s">
        <v>5</v>
      </c>
      <c r="D68" s="11" t="s">
        <v>360</v>
      </c>
      <c r="E68" s="11" t="str">
        <f>IF(AND($E$6&gt;=60000,$G$6="Excellent"),"Outstanding",IF($G$6="Good","Satisfactory","Needs Review"))</f>
        <v>Satisfactory</v>
      </c>
      <c r="F68" s="22" t="s">
        <v>346</v>
      </c>
      <c r="G68" s="33">
        <v>8</v>
      </c>
      <c r="H68" s="33" t="str">
        <f>IF(AND(E5&gt;=60000,G5="Excellent"),"Outstanding",IF(G5="Good","Satisfactory","Needs Review"))</f>
        <v>Needs Review</v>
      </c>
    </row>
    <row r="69" spans="1:8" ht="28.8" x14ac:dyDescent="0.3">
      <c r="A69" s="11">
        <v>9</v>
      </c>
      <c r="B69" s="11" t="s">
        <v>361</v>
      </c>
      <c r="C69" s="14" t="s">
        <v>5</v>
      </c>
      <c r="D69" s="11" t="s">
        <v>362</v>
      </c>
      <c r="E69" s="11" t="str">
        <f>IF($H$6&gt;=60000,"High","IF")</f>
        <v>IF</v>
      </c>
      <c r="F69" s="22" t="s">
        <v>346</v>
      </c>
      <c r="G69" s="33">
        <v>9</v>
      </c>
      <c r="H69" s="33" t="str">
        <f>IF(H5&gt;=60000,"High","IF")</f>
        <v>High</v>
      </c>
    </row>
    <row r="70" spans="1:8" ht="28.8" x14ac:dyDescent="0.3">
      <c r="A70" s="11">
        <v>10</v>
      </c>
      <c r="B70" s="11" t="s">
        <v>363</v>
      </c>
      <c r="C70" s="15" t="s">
        <v>6</v>
      </c>
      <c r="D70" s="11" t="s">
        <v>364</v>
      </c>
      <c r="E70" s="11" t="str">
        <f>IF(AND($E$6&gt;=50000,$F$6&gt;=5,$G$6="Excellent"),"Promotion Ready",IF($G$6="Good","Keep in Pool","Monitor"))</f>
        <v>Keep in Pool</v>
      </c>
      <c r="F70" s="22" t="s">
        <v>346</v>
      </c>
      <c r="G70" s="33">
        <v>10</v>
      </c>
      <c r="H70" s="33" t="str">
        <f>IF(AND(F6&gt;=7,G6="Excellent"),"Promotion Ready",IF(AND(F6&gt;=5,G6="Good"),"Keep in Pool","Monitor"))</f>
        <v>Monitor</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34"/>
  <sheetViews>
    <sheetView showGridLines="0" workbookViewId="0">
      <pane ySplit="4" topLeftCell="A31" activePane="bottomLeft" state="frozen"/>
      <selection pane="bottomLeft" activeCell="E34" sqref="E34"/>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8" max="8" width="16.6640625" customWidth="1"/>
  </cols>
  <sheetData>
    <row r="1" spans="1:1" ht="24" customHeight="1" x14ac:dyDescent="0.4">
      <c r="A1" s="1" t="s">
        <v>365</v>
      </c>
    </row>
    <row r="2" spans="1:1" x14ac:dyDescent="0.3">
      <c r="A2" s="2" t="s">
        <v>366</v>
      </c>
    </row>
    <row r="4" spans="1:1" ht="22.05" customHeight="1" x14ac:dyDescent="0.3">
      <c r="A4" s="7" t="s">
        <v>367</v>
      </c>
    </row>
    <row r="5" spans="1:1" x14ac:dyDescent="0.3">
      <c r="A5" s="8" t="s">
        <v>368</v>
      </c>
    </row>
    <row r="6" spans="1:1" x14ac:dyDescent="0.3">
      <c r="A6" s="9" t="s">
        <v>369</v>
      </c>
    </row>
    <row r="7" spans="1:1" x14ac:dyDescent="0.3">
      <c r="A7" s="9" t="s">
        <v>370</v>
      </c>
    </row>
    <row r="8" spans="1:1" x14ac:dyDescent="0.3">
      <c r="A8" s="9" t="s">
        <v>371</v>
      </c>
    </row>
    <row r="9" spans="1:1" x14ac:dyDescent="0.3">
      <c r="A9" s="9" t="s">
        <v>372</v>
      </c>
    </row>
    <row r="10" spans="1:1" x14ac:dyDescent="0.3">
      <c r="A10" s="9" t="s">
        <v>373</v>
      </c>
    </row>
    <row r="11" spans="1:1" x14ac:dyDescent="0.3">
      <c r="A11" s="9" t="s">
        <v>374</v>
      </c>
    </row>
    <row r="12" spans="1:1" x14ac:dyDescent="0.3">
      <c r="A12" s="9" t="s">
        <v>375</v>
      </c>
    </row>
    <row r="13" spans="1:1" x14ac:dyDescent="0.3">
      <c r="A13" s="9" t="s">
        <v>376</v>
      </c>
    </row>
    <row r="14" spans="1:1" x14ac:dyDescent="0.3">
      <c r="A14" s="9" t="s">
        <v>377</v>
      </c>
    </row>
    <row r="15" spans="1:1" x14ac:dyDescent="0.3">
      <c r="A15" s="9" t="s">
        <v>61</v>
      </c>
    </row>
    <row r="16" spans="1:1" x14ac:dyDescent="0.3">
      <c r="A16" s="9" t="s">
        <v>369</v>
      </c>
    </row>
    <row r="17" spans="1:8" x14ac:dyDescent="0.3">
      <c r="A17" s="9" t="s">
        <v>378</v>
      </c>
    </row>
    <row r="18" spans="1:8" x14ac:dyDescent="0.3">
      <c r="A18" s="9" t="s">
        <v>379</v>
      </c>
    </row>
    <row r="19" spans="1:8" x14ac:dyDescent="0.3">
      <c r="A19" s="9" t="s">
        <v>380</v>
      </c>
    </row>
    <row r="20" spans="1:8" x14ac:dyDescent="0.3">
      <c r="A20" s="9" t="s">
        <v>381</v>
      </c>
    </row>
    <row r="24" spans="1:8" x14ac:dyDescent="0.3">
      <c r="A24" s="10" t="s">
        <v>148</v>
      </c>
      <c r="B24" s="10" t="s">
        <v>149</v>
      </c>
      <c r="C24" s="10" t="s">
        <v>150</v>
      </c>
      <c r="D24" s="10" t="s">
        <v>151</v>
      </c>
      <c r="E24" s="10" t="s">
        <v>152</v>
      </c>
      <c r="F24" s="10" t="s">
        <v>153</v>
      </c>
      <c r="G24" s="38" t="s">
        <v>515</v>
      </c>
      <c r="H24" s="38" t="s">
        <v>516</v>
      </c>
    </row>
    <row r="25" spans="1:8" ht="28.8" x14ac:dyDescent="0.3">
      <c r="A25" s="11">
        <v>1</v>
      </c>
      <c r="B25" s="11" t="s">
        <v>382</v>
      </c>
      <c r="C25" s="12" t="s">
        <v>3</v>
      </c>
      <c r="D25" s="11" t="s">
        <v>383</v>
      </c>
      <c r="E25" s="11" t="str">
        <f>PROPER(A6)</f>
        <v>Rahul Sharma</v>
      </c>
      <c r="F25" s="11" t="s">
        <v>384</v>
      </c>
      <c r="G25">
        <v>1</v>
      </c>
      <c r="H25" t="str">
        <f>PROPER(A6)</f>
        <v>Rahul Sharma</v>
      </c>
    </row>
    <row r="26" spans="1:8" ht="28.8" x14ac:dyDescent="0.3">
      <c r="A26" s="11">
        <v>2</v>
      </c>
      <c r="B26" s="11" t="s">
        <v>385</v>
      </c>
      <c r="C26" s="12" t="s">
        <v>3</v>
      </c>
      <c r="D26" s="11" t="s">
        <v>386</v>
      </c>
      <c r="E26" s="11" t="str">
        <f>UPPER(A6)</f>
        <v>RAHUL SHARMA</v>
      </c>
      <c r="F26" s="11" t="s">
        <v>384</v>
      </c>
      <c r="G26">
        <v>2</v>
      </c>
      <c r="H26" t="str">
        <f>UPPER(A6)</f>
        <v>RAHUL SHARMA</v>
      </c>
    </row>
    <row r="27" spans="1:8" ht="28.8" x14ac:dyDescent="0.3">
      <c r="A27" s="11">
        <v>3</v>
      </c>
      <c r="B27" s="11" t="s">
        <v>387</v>
      </c>
      <c r="C27" s="12" t="s">
        <v>3</v>
      </c>
      <c r="D27" s="11" t="s">
        <v>388</v>
      </c>
      <c r="E27" s="11" t="str">
        <f>LOWER(A6)</f>
        <v>rahul sharma</v>
      </c>
      <c r="F27" s="11" t="s">
        <v>384</v>
      </c>
      <c r="G27">
        <v>3</v>
      </c>
      <c r="H27" t="str">
        <f>LOWER(A6)</f>
        <v>rahul sharma</v>
      </c>
    </row>
    <row r="28" spans="1:8" ht="28.8" x14ac:dyDescent="0.3">
      <c r="A28" s="11">
        <v>4</v>
      </c>
      <c r="B28" s="11" t="s">
        <v>389</v>
      </c>
      <c r="C28" s="13" t="s">
        <v>4</v>
      </c>
      <c r="D28" s="11" t="s">
        <v>390</v>
      </c>
      <c r="E28" s="11" t="str">
        <f>TRIM(A6)</f>
        <v>rahul sharma</v>
      </c>
      <c r="F28" s="11" t="s">
        <v>384</v>
      </c>
      <c r="G28">
        <v>4</v>
      </c>
      <c r="H28" t="str">
        <f>TRIM(A6)</f>
        <v>rahul sharma</v>
      </c>
    </row>
    <row r="29" spans="1:8" ht="28.8" x14ac:dyDescent="0.3">
      <c r="A29" s="11">
        <v>5</v>
      </c>
      <c r="B29" s="11" t="s">
        <v>391</v>
      </c>
      <c r="C29" s="13" t="s">
        <v>4</v>
      </c>
      <c r="D29" s="11" t="s">
        <v>392</v>
      </c>
      <c r="E29" s="11" t="b">
        <f>COUNTIF($A$6:$A$55,A6)&gt;1</f>
        <v>1</v>
      </c>
      <c r="F29" s="11" t="s">
        <v>384</v>
      </c>
      <c r="G29">
        <v>5</v>
      </c>
      <c r="H29" t="b">
        <f>COUNTIF(A6:A55,A6)&gt;1</f>
        <v>1</v>
      </c>
    </row>
    <row r="30" spans="1:8" ht="28.8" x14ac:dyDescent="0.3">
      <c r="A30" s="11">
        <v>6</v>
      </c>
      <c r="B30" s="11" t="s">
        <v>393</v>
      </c>
      <c r="C30" s="13" t="s">
        <v>4</v>
      </c>
      <c r="D30" s="11" t="s">
        <v>394</v>
      </c>
      <c r="E30" s="11">
        <f>COUNTBLANK(A6:A55)</f>
        <v>24</v>
      </c>
      <c r="F30" s="11" t="s">
        <v>384</v>
      </c>
      <c r="G30">
        <v>6</v>
      </c>
      <c r="H30">
        <f>COUNTBLANK(A6:A55)</f>
        <v>24</v>
      </c>
    </row>
    <row r="31" spans="1:8" ht="28.8" x14ac:dyDescent="0.3">
      <c r="A31" s="11">
        <v>7</v>
      </c>
      <c r="B31" s="11" t="s">
        <v>395</v>
      </c>
      <c r="C31" s="14" t="s">
        <v>5</v>
      </c>
      <c r="D31" s="11" t="s">
        <v>396</v>
      </c>
      <c r="E31" s="11" t="str">
        <f>PROPER(TRIM(A6))</f>
        <v>Rahul Sharma</v>
      </c>
      <c r="F31" s="11" t="s">
        <v>384</v>
      </c>
      <c r="G31">
        <v>7</v>
      </c>
      <c r="H31" t="str">
        <f>PROPER(TRIM(A6))</f>
        <v>Rahul Sharma</v>
      </c>
    </row>
    <row r="32" spans="1:8" ht="28.8" x14ac:dyDescent="0.3">
      <c r="A32" s="11">
        <v>8</v>
      </c>
      <c r="B32" s="11" t="s">
        <v>397</v>
      </c>
      <c r="C32" s="14" t="s">
        <v>5</v>
      </c>
      <c r="D32" s="11" t="s">
        <v>398</v>
      </c>
      <c r="E32" s="11">
        <f>COUNTA(_xlfn.UNIQUE(A6:A55))</f>
        <v>25</v>
      </c>
      <c r="F32" s="11" t="s">
        <v>384</v>
      </c>
      <c r="G32">
        <v>8</v>
      </c>
      <c r="H32">
        <f>COUNTA(_xlfn.UNIQUE(A6:A55))</f>
        <v>25</v>
      </c>
    </row>
    <row r="33" spans="1:8" ht="28.8" x14ac:dyDescent="0.3">
      <c r="A33" s="11">
        <v>9</v>
      </c>
      <c r="B33" s="11" t="s">
        <v>399</v>
      </c>
      <c r="C33" s="14" t="s">
        <v>5</v>
      </c>
      <c r="D33" s="11" t="s">
        <v>400</v>
      </c>
      <c r="E33" s="11" t="str">
        <f>TRIM(PROPER(A6))</f>
        <v>Rahul Sharma</v>
      </c>
      <c r="F33" s="11" t="s">
        <v>384</v>
      </c>
      <c r="G33">
        <v>9</v>
      </c>
      <c r="H33" t="str">
        <f>TRIM(PROPER(A6))</f>
        <v>Rahul Sharma</v>
      </c>
    </row>
    <row r="34" spans="1:8" ht="43.2" x14ac:dyDescent="0.3">
      <c r="A34" s="11">
        <v>10</v>
      </c>
      <c r="B34" s="11" t="s">
        <v>401</v>
      </c>
      <c r="C34" s="15" t="s">
        <v>6</v>
      </c>
      <c r="D34" s="11" t="s">
        <v>402</v>
      </c>
      <c r="E34" s="11" t="e">
        <f ca="1">_xludf.UNIQUE(TRIM(PROPER(A6:A55)))</f>
        <v>#NAME?</v>
      </c>
      <c r="F34" s="11" t="s">
        <v>384</v>
      </c>
      <c r="G34">
        <v>10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61"/>
  <sheetViews>
    <sheetView showGridLines="0" topLeftCell="C1" workbookViewId="0">
      <pane ySplit="4" topLeftCell="A118" activePane="bottomLeft" state="frozen"/>
      <selection pane="bottomLeft" activeCell="G120" sqref="G120:H131"/>
    </sheetView>
  </sheetViews>
  <sheetFormatPr defaultRowHeight="14.4" x14ac:dyDescent="0.3"/>
  <cols>
    <col min="1" max="1" width="21.77734375" customWidth="1"/>
    <col min="2" max="2" width="28" customWidth="1"/>
    <col min="3" max="3" width="27.6640625" customWidth="1"/>
    <col min="4" max="4" width="32.77734375" customWidth="1"/>
    <col min="5" max="5" width="23.5546875" customWidth="1"/>
    <col min="6" max="6" width="38" customWidth="1"/>
    <col min="7" max="7" width="13.6640625" bestFit="1" customWidth="1"/>
    <col min="8" max="8" width="14.88671875" bestFit="1" customWidth="1"/>
  </cols>
  <sheetData>
    <row r="1" spans="1:6" ht="24" customHeight="1" x14ac:dyDescent="0.4">
      <c r="A1" s="1" t="s">
        <v>403</v>
      </c>
    </row>
    <row r="2" spans="1:6" x14ac:dyDescent="0.3">
      <c r="A2" s="2" t="s">
        <v>404</v>
      </c>
    </row>
    <row r="4" spans="1:6" ht="22.05" customHeight="1" x14ac:dyDescent="0.3">
      <c r="A4" s="7" t="s">
        <v>405</v>
      </c>
    </row>
    <row r="5" spans="1:6" x14ac:dyDescent="0.3">
      <c r="A5" s="16" t="s">
        <v>406</v>
      </c>
      <c r="B5" s="16" t="s">
        <v>407</v>
      </c>
      <c r="C5" s="16" t="s">
        <v>408</v>
      </c>
      <c r="D5" s="16" t="s">
        <v>409</v>
      </c>
      <c r="E5" s="16" t="s">
        <v>410</v>
      </c>
      <c r="F5" s="16" t="s">
        <v>411</v>
      </c>
    </row>
    <row r="6" spans="1:6" x14ac:dyDescent="0.3">
      <c r="A6" s="17">
        <v>45658</v>
      </c>
      <c r="B6" s="11" t="s">
        <v>412</v>
      </c>
      <c r="C6" s="11" t="s">
        <v>413</v>
      </c>
      <c r="D6" s="11" t="s">
        <v>51</v>
      </c>
      <c r="E6" s="11">
        <v>12</v>
      </c>
      <c r="F6" s="11">
        <v>358885</v>
      </c>
    </row>
    <row r="7" spans="1:6" x14ac:dyDescent="0.3">
      <c r="A7" s="17">
        <v>45661</v>
      </c>
      <c r="B7" s="11" t="s">
        <v>414</v>
      </c>
      <c r="C7" s="11" t="s">
        <v>415</v>
      </c>
      <c r="D7" s="11" t="s">
        <v>77</v>
      </c>
      <c r="E7" s="11">
        <v>4</v>
      </c>
      <c r="F7" s="11">
        <v>219634</v>
      </c>
    </row>
    <row r="8" spans="1:6" x14ac:dyDescent="0.3">
      <c r="A8" s="17">
        <v>45664</v>
      </c>
      <c r="B8" s="11" t="s">
        <v>414</v>
      </c>
      <c r="C8" s="11" t="s">
        <v>413</v>
      </c>
      <c r="D8" s="11" t="s">
        <v>61</v>
      </c>
      <c r="E8" s="11">
        <v>4</v>
      </c>
      <c r="F8" s="11">
        <v>119826</v>
      </c>
    </row>
    <row r="9" spans="1:6" x14ac:dyDescent="0.3">
      <c r="A9" s="17">
        <v>45667</v>
      </c>
      <c r="B9" s="11" t="s">
        <v>416</v>
      </c>
      <c r="C9" s="11" t="s">
        <v>417</v>
      </c>
      <c r="D9" s="11" t="s">
        <v>54</v>
      </c>
      <c r="E9" s="11">
        <v>7</v>
      </c>
      <c r="F9" s="11">
        <v>18189</v>
      </c>
    </row>
    <row r="10" spans="1:6" x14ac:dyDescent="0.3">
      <c r="A10" s="17">
        <v>45670</v>
      </c>
      <c r="B10" s="11" t="s">
        <v>418</v>
      </c>
      <c r="C10" s="11" t="s">
        <v>415</v>
      </c>
      <c r="D10" s="11" t="s">
        <v>97</v>
      </c>
      <c r="E10" s="11">
        <v>5</v>
      </c>
      <c r="F10" s="11">
        <v>275876</v>
      </c>
    </row>
    <row r="11" spans="1:6" x14ac:dyDescent="0.3">
      <c r="A11" s="17">
        <v>45673</v>
      </c>
      <c r="B11" s="11" t="s">
        <v>414</v>
      </c>
      <c r="C11" s="11" t="s">
        <v>417</v>
      </c>
      <c r="D11" s="11" t="s">
        <v>81</v>
      </c>
      <c r="E11" s="11">
        <v>6</v>
      </c>
      <c r="F11" s="11">
        <v>13226</v>
      </c>
    </row>
    <row r="12" spans="1:6" x14ac:dyDescent="0.3">
      <c r="A12" s="17">
        <v>45676</v>
      </c>
      <c r="B12" s="11" t="s">
        <v>416</v>
      </c>
      <c r="C12" s="11" t="s">
        <v>413</v>
      </c>
      <c r="D12" s="11" t="s">
        <v>51</v>
      </c>
      <c r="E12" s="11">
        <v>10</v>
      </c>
      <c r="F12" s="11">
        <v>300174</v>
      </c>
    </row>
    <row r="13" spans="1:6" x14ac:dyDescent="0.3">
      <c r="A13" s="17">
        <v>45679</v>
      </c>
      <c r="B13" s="11" t="s">
        <v>416</v>
      </c>
      <c r="C13" s="11" t="s">
        <v>415</v>
      </c>
      <c r="D13" s="11" t="s">
        <v>87</v>
      </c>
      <c r="E13" s="11">
        <v>7</v>
      </c>
      <c r="F13" s="11">
        <v>385831</v>
      </c>
    </row>
    <row r="14" spans="1:6" x14ac:dyDescent="0.3">
      <c r="A14" s="17">
        <v>45682</v>
      </c>
      <c r="B14" s="11" t="s">
        <v>418</v>
      </c>
      <c r="C14" s="11" t="s">
        <v>419</v>
      </c>
      <c r="D14" s="11" t="s">
        <v>87</v>
      </c>
      <c r="E14" s="11">
        <v>9</v>
      </c>
      <c r="F14" s="11">
        <v>34947</v>
      </c>
    </row>
    <row r="15" spans="1:6" x14ac:dyDescent="0.3">
      <c r="A15" s="17">
        <v>45685</v>
      </c>
      <c r="B15" s="11" t="s">
        <v>414</v>
      </c>
      <c r="C15" s="11" t="s">
        <v>420</v>
      </c>
      <c r="D15" s="11" t="s">
        <v>54</v>
      </c>
      <c r="E15" s="11">
        <v>5</v>
      </c>
      <c r="F15" s="11">
        <v>58363</v>
      </c>
    </row>
    <row r="16" spans="1:6" x14ac:dyDescent="0.3">
      <c r="A16" s="17">
        <v>45688</v>
      </c>
      <c r="B16" s="11" t="s">
        <v>414</v>
      </c>
      <c r="C16" s="11" t="s">
        <v>415</v>
      </c>
      <c r="D16" s="11" t="s">
        <v>79</v>
      </c>
      <c r="E16" s="11">
        <v>9</v>
      </c>
      <c r="F16" s="11">
        <v>494614</v>
      </c>
    </row>
    <row r="17" spans="1:6" x14ac:dyDescent="0.3">
      <c r="A17" s="17">
        <v>45691</v>
      </c>
      <c r="B17" s="11" t="s">
        <v>418</v>
      </c>
      <c r="C17" s="11" t="s">
        <v>419</v>
      </c>
      <c r="D17" s="11" t="s">
        <v>41</v>
      </c>
      <c r="E17" s="11">
        <v>11</v>
      </c>
      <c r="F17" s="11">
        <v>44704</v>
      </c>
    </row>
    <row r="18" spans="1:6" x14ac:dyDescent="0.3">
      <c r="A18" s="17">
        <v>45694</v>
      </c>
      <c r="B18" s="11" t="s">
        <v>418</v>
      </c>
      <c r="C18" s="11" t="s">
        <v>417</v>
      </c>
      <c r="D18" s="11" t="s">
        <v>43</v>
      </c>
      <c r="E18" s="11">
        <v>12</v>
      </c>
      <c r="F18" s="11">
        <v>30460</v>
      </c>
    </row>
    <row r="19" spans="1:6" x14ac:dyDescent="0.3">
      <c r="A19" s="17">
        <v>45697</v>
      </c>
      <c r="B19" s="11" t="s">
        <v>418</v>
      </c>
      <c r="C19" s="11" t="s">
        <v>417</v>
      </c>
      <c r="D19" s="11" t="s">
        <v>72</v>
      </c>
      <c r="E19" s="11">
        <v>6</v>
      </c>
      <c r="F19" s="11">
        <v>16296</v>
      </c>
    </row>
    <row r="20" spans="1:6" x14ac:dyDescent="0.3">
      <c r="A20" s="17">
        <v>45700</v>
      </c>
      <c r="B20" s="11" t="s">
        <v>418</v>
      </c>
      <c r="C20" s="11" t="s">
        <v>420</v>
      </c>
      <c r="D20" s="11" t="s">
        <v>47</v>
      </c>
      <c r="E20" s="11">
        <v>4</v>
      </c>
      <c r="F20" s="11">
        <v>49444</v>
      </c>
    </row>
    <row r="21" spans="1:6" x14ac:dyDescent="0.3">
      <c r="A21" s="17">
        <v>45703</v>
      </c>
      <c r="B21" s="11" t="s">
        <v>414</v>
      </c>
      <c r="C21" s="11" t="s">
        <v>417</v>
      </c>
      <c r="D21" s="11" t="s">
        <v>95</v>
      </c>
      <c r="E21" s="11">
        <v>3</v>
      </c>
      <c r="F21" s="11">
        <v>10162</v>
      </c>
    </row>
    <row r="22" spans="1:6" x14ac:dyDescent="0.3">
      <c r="A22" s="17">
        <v>45706</v>
      </c>
      <c r="B22" s="11" t="s">
        <v>418</v>
      </c>
      <c r="C22" s="11" t="s">
        <v>419</v>
      </c>
      <c r="D22" s="11" t="s">
        <v>81</v>
      </c>
      <c r="E22" s="11">
        <v>1</v>
      </c>
      <c r="F22" s="11">
        <v>4489</v>
      </c>
    </row>
    <row r="23" spans="1:6" x14ac:dyDescent="0.3">
      <c r="A23" s="17">
        <v>45709</v>
      </c>
      <c r="B23" s="11" t="s">
        <v>418</v>
      </c>
      <c r="C23" s="11" t="s">
        <v>421</v>
      </c>
      <c r="D23" s="11" t="s">
        <v>72</v>
      </c>
      <c r="E23" s="11">
        <v>10</v>
      </c>
      <c r="F23" s="11">
        <v>222969</v>
      </c>
    </row>
    <row r="24" spans="1:6" x14ac:dyDescent="0.3">
      <c r="A24" s="17">
        <v>45712</v>
      </c>
      <c r="B24" s="11" t="s">
        <v>418</v>
      </c>
      <c r="C24" s="11" t="s">
        <v>419</v>
      </c>
      <c r="D24" s="11" t="s">
        <v>75</v>
      </c>
      <c r="E24" s="11">
        <v>8</v>
      </c>
      <c r="F24" s="11">
        <v>31750</v>
      </c>
    </row>
    <row r="25" spans="1:6" x14ac:dyDescent="0.3">
      <c r="A25" s="17">
        <v>45715</v>
      </c>
      <c r="B25" s="11" t="s">
        <v>414</v>
      </c>
      <c r="C25" s="11" t="s">
        <v>417</v>
      </c>
      <c r="D25" s="11" t="s">
        <v>51</v>
      </c>
      <c r="E25" s="11">
        <v>11</v>
      </c>
      <c r="F25" s="11">
        <v>26194</v>
      </c>
    </row>
    <row r="26" spans="1:6" x14ac:dyDescent="0.3">
      <c r="A26" s="17">
        <v>45718</v>
      </c>
      <c r="B26" s="11" t="s">
        <v>418</v>
      </c>
      <c r="C26" s="11" t="s">
        <v>420</v>
      </c>
      <c r="D26" s="11" t="s">
        <v>91</v>
      </c>
      <c r="E26" s="11">
        <v>11</v>
      </c>
      <c r="F26" s="11">
        <v>132745</v>
      </c>
    </row>
    <row r="27" spans="1:6" x14ac:dyDescent="0.3">
      <c r="A27" s="17">
        <v>45721</v>
      </c>
      <c r="B27" s="11" t="s">
        <v>416</v>
      </c>
      <c r="C27" s="11" t="s">
        <v>421</v>
      </c>
      <c r="D27" s="11" t="s">
        <v>91</v>
      </c>
      <c r="E27" s="11">
        <v>5</v>
      </c>
      <c r="F27" s="11">
        <v>109840</v>
      </c>
    </row>
    <row r="28" spans="1:6" x14ac:dyDescent="0.3">
      <c r="A28" s="17">
        <v>45724</v>
      </c>
      <c r="B28" s="11" t="s">
        <v>412</v>
      </c>
      <c r="C28" s="11" t="s">
        <v>421</v>
      </c>
      <c r="D28" s="11" t="s">
        <v>31</v>
      </c>
      <c r="E28" s="11">
        <v>1</v>
      </c>
      <c r="F28" s="11">
        <v>22005</v>
      </c>
    </row>
    <row r="29" spans="1:6" x14ac:dyDescent="0.3">
      <c r="A29" s="17">
        <v>45727</v>
      </c>
      <c r="B29" s="11" t="s">
        <v>414</v>
      </c>
      <c r="C29" s="11" t="s">
        <v>420</v>
      </c>
      <c r="D29" s="11" t="s">
        <v>97</v>
      </c>
      <c r="E29" s="11">
        <v>2</v>
      </c>
      <c r="F29" s="11">
        <v>25730</v>
      </c>
    </row>
    <row r="30" spans="1:6" x14ac:dyDescent="0.3">
      <c r="A30" s="17">
        <v>45730</v>
      </c>
      <c r="B30" s="11" t="s">
        <v>414</v>
      </c>
      <c r="C30" s="11" t="s">
        <v>417</v>
      </c>
      <c r="D30" s="11" t="s">
        <v>85</v>
      </c>
      <c r="E30" s="11">
        <v>4</v>
      </c>
      <c r="F30" s="11">
        <v>11145</v>
      </c>
    </row>
    <row r="31" spans="1:6" x14ac:dyDescent="0.3">
      <c r="A31" s="17">
        <v>45733</v>
      </c>
      <c r="B31" s="11" t="s">
        <v>414</v>
      </c>
      <c r="C31" s="11" t="s">
        <v>419</v>
      </c>
      <c r="D31" s="11" t="s">
        <v>56</v>
      </c>
      <c r="E31" s="11">
        <v>3</v>
      </c>
      <c r="F31" s="11">
        <v>10045</v>
      </c>
    </row>
    <row r="32" spans="1:6" x14ac:dyDescent="0.3">
      <c r="A32" s="17">
        <v>45736</v>
      </c>
      <c r="B32" s="11" t="s">
        <v>416</v>
      </c>
      <c r="C32" s="11" t="s">
        <v>419</v>
      </c>
      <c r="D32" s="11" t="s">
        <v>56</v>
      </c>
      <c r="E32" s="11">
        <v>3</v>
      </c>
      <c r="F32" s="11">
        <v>14243</v>
      </c>
    </row>
    <row r="33" spans="1:6" x14ac:dyDescent="0.3">
      <c r="A33" s="17">
        <v>45739</v>
      </c>
      <c r="B33" s="11" t="s">
        <v>414</v>
      </c>
      <c r="C33" s="11" t="s">
        <v>415</v>
      </c>
      <c r="D33" s="11" t="s">
        <v>81</v>
      </c>
      <c r="E33" s="11">
        <v>4</v>
      </c>
      <c r="F33" s="11">
        <v>218994</v>
      </c>
    </row>
    <row r="34" spans="1:6" x14ac:dyDescent="0.3">
      <c r="A34" s="17">
        <v>45742</v>
      </c>
      <c r="B34" s="11" t="s">
        <v>414</v>
      </c>
      <c r="C34" s="11" t="s">
        <v>421</v>
      </c>
      <c r="D34" s="11" t="s">
        <v>75</v>
      </c>
      <c r="E34" s="11">
        <v>11</v>
      </c>
      <c r="F34" s="11">
        <v>244351</v>
      </c>
    </row>
    <row r="35" spans="1:6" x14ac:dyDescent="0.3">
      <c r="A35" s="17">
        <v>45745</v>
      </c>
      <c r="B35" s="11" t="s">
        <v>418</v>
      </c>
      <c r="C35" s="11" t="s">
        <v>419</v>
      </c>
      <c r="D35" s="11" t="s">
        <v>87</v>
      </c>
      <c r="E35" s="11">
        <v>12</v>
      </c>
      <c r="F35" s="11">
        <v>50135</v>
      </c>
    </row>
    <row r="36" spans="1:6" x14ac:dyDescent="0.3">
      <c r="A36" s="17">
        <v>45748</v>
      </c>
      <c r="B36" s="11" t="s">
        <v>414</v>
      </c>
      <c r="C36" s="11" t="s">
        <v>420</v>
      </c>
      <c r="D36" s="11" t="s">
        <v>75</v>
      </c>
      <c r="E36" s="11">
        <v>3</v>
      </c>
      <c r="F36" s="11">
        <v>37888</v>
      </c>
    </row>
    <row r="37" spans="1:6" x14ac:dyDescent="0.3">
      <c r="A37" s="17">
        <v>45751</v>
      </c>
      <c r="B37" s="11" t="s">
        <v>414</v>
      </c>
      <c r="C37" s="11" t="s">
        <v>413</v>
      </c>
      <c r="D37" s="11" t="s">
        <v>97</v>
      </c>
      <c r="E37" s="11">
        <v>4</v>
      </c>
      <c r="F37" s="11">
        <v>120271</v>
      </c>
    </row>
    <row r="38" spans="1:6" x14ac:dyDescent="0.3">
      <c r="A38" s="17">
        <v>45754</v>
      </c>
      <c r="B38" s="11" t="s">
        <v>414</v>
      </c>
      <c r="C38" s="11" t="s">
        <v>417</v>
      </c>
      <c r="D38" s="11" t="s">
        <v>56</v>
      </c>
      <c r="E38" s="11">
        <v>5</v>
      </c>
      <c r="F38" s="11">
        <v>14103</v>
      </c>
    </row>
    <row r="39" spans="1:6" x14ac:dyDescent="0.3">
      <c r="A39" s="17">
        <v>45757</v>
      </c>
      <c r="B39" s="11" t="s">
        <v>416</v>
      </c>
      <c r="C39" s="11" t="s">
        <v>417</v>
      </c>
      <c r="D39" s="11" t="s">
        <v>61</v>
      </c>
      <c r="E39" s="11">
        <v>4</v>
      </c>
      <c r="F39" s="11">
        <v>10225</v>
      </c>
    </row>
    <row r="40" spans="1:6" x14ac:dyDescent="0.3">
      <c r="A40" s="17">
        <v>45760</v>
      </c>
      <c r="B40" s="11" t="s">
        <v>418</v>
      </c>
      <c r="C40" s="11" t="s">
        <v>413</v>
      </c>
      <c r="D40" s="11" t="s">
        <v>81</v>
      </c>
      <c r="E40" s="11">
        <v>2</v>
      </c>
      <c r="F40" s="11">
        <v>59133</v>
      </c>
    </row>
    <row r="41" spans="1:6" x14ac:dyDescent="0.3">
      <c r="A41" s="17">
        <v>45763</v>
      </c>
      <c r="B41" s="11" t="s">
        <v>412</v>
      </c>
      <c r="C41" s="11" t="s">
        <v>421</v>
      </c>
      <c r="D41" s="11" t="s">
        <v>70</v>
      </c>
      <c r="E41" s="11">
        <v>12</v>
      </c>
      <c r="F41" s="11">
        <v>263251</v>
      </c>
    </row>
    <row r="42" spans="1:6" x14ac:dyDescent="0.3">
      <c r="A42" s="17">
        <v>45766</v>
      </c>
      <c r="B42" s="11" t="s">
        <v>412</v>
      </c>
      <c r="C42" s="11" t="s">
        <v>415</v>
      </c>
      <c r="D42" s="11" t="s">
        <v>72</v>
      </c>
      <c r="E42" s="11">
        <v>7</v>
      </c>
      <c r="F42" s="11">
        <v>385710</v>
      </c>
    </row>
    <row r="43" spans="1:6" x14ac:dyDescent="0.3">
      <c r="A43" s="17">
        <v>45769</v>
      </c>
      <c r="B43" s="11" t="s">
        <v>414</v>
      </c>
      <c r="C43" s="11" t="s">
        <v>419</v>
      </c>
      <c r="D43" s="11" t="s">
        <v>36</v>
      </c>
      <c r="E43" s="11">
        <v>4</v>
      </c>
      <c r="F43" s="11">
        <v>17441</v>
      </c>
    </row>
    <row r="44" spans="1:6" x14ac:dyDescent="0.3">
      <c r="A44" s="17">
        <v>45772</v>
      </c>
      <c r="B44" s="11" t="s">
        <v>414</v>
      </c>
      <c r="C44" s="11" t="s">
        <v>420</v>
      </c>
      <c r="D44" s="11" t="s">
        <v>93</v>
      </c>
      <c r="E44" s="11">
        <v>1</v>
      </c>
      <c r="F44" s="11">
        <v>14716</v>
      </c>
    </row>
    <row r="45" spans="1:6" x14ac:dyDescent="0.3">
      <c r="A45" s="17">
        <v>45775</v>
      </c>
      <c r="B45" s="11" t="s">
        <v>414</v>
      </c>
      <c r="C45" s="11" t="s">
        <v>419</v>
      </c>
      <c r="D45" s="11" t="s">
        <v>31</v>
      </c>
      <c r="E45" s="11">
        <v>6</v>
      </c>
      <c r="F45" s="11">
        <v>24446</v>
      </c>
    </row>
    <row r="46" spans="1:6" x14ac:dyDescent="0.3">
      <c r="A46" s="17">
        <v>45778</v>
      </c>
      <c r="B46" s="11" t="s">
        <v>414</v>
      </c>
      <c r="C46" s="11" t="s">
        <v>419</v>
      </c>
      <c r="D46" s="11" t="s">
        <v>81</v>
      </c>
      <c r="E46" s="11">
        <v>12</v>
      </c>
      <c r="F46" s="11">
        <v>50473</v>
      </c>
    </row>
    <row r="47" spans="1:6" x14ac:dyDescent="0.3">
      <c r="A47" s="17">
        <v>45781</v>
      </c>
      <c r="B47" s="11" t="s">
        <v>412</v>
      </c>
      <c r="C47" s="11" t="s">
        <v>419</v>
      </c>
      <c r="D47" s="11" t="s">
        <v>56</v>
      </c>
      <c r="E47" s="11">
        <v>5</v>
      </c>
      <c r="F47" s="11">
        <v>21570</v>
      </c>
    </row>
    <row r="48" spans="1:6" x14ac:dyDescent="0.3">
      <c r="A48" s="17">
        <v>45784</v>
      </c>
      <c r="B48" s="11" t="s">
        <v>414</v>
      </c>
      <c r="C48" s="11" t="s">
        <v>415</v>
      </c>
      <c r="D48" s="11" t="s">
        <v>70</v>
      </c>
      <c r="E48" s="11">
        <v>6</v>
      </c>
      <c r="F48" s="11">
        <v>331312</v>
      </c>
    </row>
    <row r="49" spans="1:6" x14ac:dyDescent="0.3">
      <c r="A49" s="17">
        <v>45787</v>
      </c>
      <c r="B49" s="11" t="s">
        <v>412</v>
      </c>
      <c r="C49" s="11" t="s">
        <v>419</v>
      </c>
      <c r="D49" s="11" t="s">
        <v>47</v>
      </c>
      <c r="E49" s="11">
        <v>10</v>
      </c>
      <c r="F49" s="11">
        <v>42375</v>
      </c>
    </row>
    <row r="50" spans="1:6" x14ac:dyDescent="0.3">
      <c r="A50" s="17">
        <v>45790</v>
      </c>
      <c r="B50" s="11" t="s">
        <v>416</v>
      </c>
      <c r="C50" s="11" t="s">
        <v>419</v>
      </c>
      <c r="D50" s="11" t="s">
        <v>85</v>
      </c>
      <c r="E50" s="11">
        <v>10</v>
      </c>
      <c r="F50" s="11">
        <v>38222</v>
      </c>
    </row>
    <row r="51" spans="1:6" x14ac:dyDescent="0.3">
      <c r="A51" s="17">
        <v>45793</v>
      </c>
      <c r="B51" s="11" t="s">
        <v>416</v>
      </c>
      <c r="C51" s="11" t="s">
        <v>417</v>
      </c>
      <c r="D51" s="11" t="s">
        <v>72</v>
      </c>
      <c r="E51" s="11">
        <v>3</v>
      </c>
      <c r="F51" s="11">
        <v>9282</v>
      </c>
    </row>
    <row r="52" spans="1:6" x14ac:dyDescent="0.3">
      <c r="A52" s="17">
        <v>45796</v>
      </c>
      <c r="B52" s="11" t="s">
        <v>412</v>
      </c>
      <c r="C52" s="11" t="s">
        <v>415</v>
      </c>
      <c r="D52" s="11" t="s">
        <v>58</v>
      </c>
      <c r="E52" s="11">
        <v>7</v>
      </c>
      <c r="F52" s="11">
        <v>385681</v>
      </c>
    </row>
    <row r="53" spans="1:6" x14ac:dyDescent="0.3">
      <c r="A53" s="17">
        <v>45799</v>
      </c>
      <c r="B53" s="11" t="s">
        <v>412</v>
      </c>
      <c r="C53" s="11" t="s">
        <v>419</v>
      </c>
      <c r="D53" s="11" t="s">
        <v>64</v>
      </c>
      <c r="E53" s="11">
        <v>6</v>
      </c>
      <c r="F53" s="11">
        <v>25105</v>
      </c>
    </row>
    <row r="54" spans="1:6" x14ac:dyDescent="0.3">
      <c r="A54" s="17">
        <v>45802</v>
      </c>
      <c r="B54" s="11" t="s">
        <v>418</v>
      </c>
      <c r="C54" s="11" t="s">
        <v>419</v>
      </c>
      <c r="D54" s="11" t="s">
        <v>58</v>
      </c>
      <c r="E54" s="11">
        <v>2</v>
      </c>
      <c r="F54" s="11">
        <v>9852</v>
      </c>
    </row>
    <row r="55" spans="1:6" x14ac:dyDescent="0.3">
      <c r="A55" s="17">
        <v>45805</v>
      </c>
      <c r="B55" s="11" t="s">
        <v>416</v>
      </c>
      <c r="C55" s="11" t="s">
        <v>417</v>
      </c>
      <c r="D55" s="11" t="s">
        <v>81</v>
      </c>
      <c r="E55" s="11">
        <v>1</v>
      </c>
      <c r="F55" s="11">
        <v>3366</v>
      </c>
    </row>
    <row r="56" spans="1:6" x14ac:dyDescent="0.3">
      <c r="A56" s="17">
        <v>45808</v>
      </c>
      <c r="B56" s="11" t="s">
        <v>412</v>
      </c>
      <c r="C56" s="11" t="s">
        <v>417</v>
      </c>
      <c r="D56" s="11" t="s">
        <v>41</v>
      </c>
      <c r="E56" s="11">
        <v>11</v>
      </c>
      <c r="F56" s="11">
        <v>25829</v>
      </c>
    </row>
    <row r="57" spans="1:6" x14ac:dyDescent="0.3">
      <c r="A57" s="17">
        <v>45811</v>
      </c>
      <c r="B57" s="11" t="s">
        <v>416</v>
      </c>
      <c r="C57" s="11" t="s">
        <v>421</v>
      </c>
      <c r="D57" s="11" t="s">
        <v>54</v>
      </c>
      <c r="E57" s="11">
        <v>1</v>
      </c>
      <c r="F57" s="11">
        <v>21248</v>
      </c>
    </row>
    <row r="58" spans="1:6" x14ac:dyDescent="0.3">
      <c r="A58" s="17">
        <v>45814</v>
      </c>
      <c r="B58" s="11" t="s">
        <v>412</v>
      </c>
      <c r="C58" s="11" t="s">
        <v>421</v>
      </c>
      <c r="D58" s="11" t="s">
        <v>77</v>
      </c>
      <c r="E58" s="11">
        <v>11</v>
      </c>
      <c r="F58" s="11">
        <v>240937</v>
      </c>
    </row>
    <row r="59" spans="1:6" x14ac:dyDescent="0.3">
      <c r="A59" s="17">
        <v>45817</v>
      </c>
      <c r="B59" s="11" t="s">
        <v>412</v>
      </c>
      <c r="C59" s="11" t="s">
        <v>419</v>
      </c>
      <c r="D59" s="11" t="s">
        <v>93</v>
      </c>
      <c r="E59" s="11">
        <v>5</v>
      </c>
      <c r="F59" s="11">
        <v>21021</v>
      </c>
    </row>
    <row r="60" spans="1:6" x14ac:dyDescent="0.3">
      <c r="A60" s="17">
        <v>45820</v>
      </c>
      <c r="B60" s="11" t="s">
        <v>412</v>
      </c>
      <c r="C60" s="11" t="s">
        <v>420</v>
      </c>
      <c r="D60" s="11" t="s">
        <v>87</v>
      </c>
      <c r="E60" s="11">
        <v>12</v>
      </c>
      <c r="F60" s="11">
        <v>142938</v>
      </c>
    </row>
    <row r="61" spans="1:6" x14ac:dyDescent="0.3">
      <c r="A61" s="17">
        <v>45823</v>
      </c>
      <c r="B61" s="11" t="s">
        <v>412</v>
      </c>
      <c r="C61" s="11" t="s">
        <v>413</v>
      </c>
      <c r="D61" s="11" t="s">
        <v>43</v>
      </c>
      <c r="E61" s="11">
        <v>10</v>
      </c>
      <c r="F61" s="11">
        <v>298210</v>
      </c>
    </row>
    <row r="62" spans="1:6" x14ac:dyDescent="0.3">
      <c r="A62" s="17">
        <v>45826</v>
      </c>
      <c r="B62" s="11" t="s">
        <v>418</v>
      </c>
      <c r="C62" s="11" t="s">
        <v>420</v>
      </c>
      <c r="D62" s="11" t="s">
        <v>91</v>
      </c>
      <c r="E62" s="11">
        <v>7</v>
      </c>
      <c r="F62" s="11">
        <v>85249</v>
      </c>
    </row>
    <row r="63" spans="1:6" x14ac:dyDescent="0.3">
      <c r="A63" s="17">
        <v>45829</v>
      </c>
      <c r="B63" s="11" t="s">
        <v>412</v>
      </c>
      <c r="C63" s="11" t="s">
        <v>415</v>
      </c>
      <c r="D63" s="11" t="s">
        <v>85</v>
      </c>
      <c r="E63" s="11">
        <v>12</v>
      </c>
      <c r="F63" s="11">
        <v>659989</v>
      </c>
    </row>
    <row r="64" spans="1:6" x14ac:dyDescent="0.3">
      <c r="A64" s="17">
        <v>45832</v>
      </c>
      <c r="B64" s="11" t="s">
        <v>416</v>
      </c>
      <c r="C64" s="11" t="s">
        <v>417</v>
      </c>
      <c r="D64" s="11" t="s">
        <v>97</v>
      </c>
      <c r="E64" s="11">
        <v>5</v>
      </c>
      <c r="F64" s="11">
        <v>15418</v>
      </c>
    </row>
    <row r="65" spans="1:6" x14ac:dyDescent="0.3">
      <c r="A65" s="17">
        <v>45835</v>
      </c>
      <c r="B65" s="11" t="s">
        <v>416</v>
      </c>
      <c r="C65" s="11" t="s">
        <v>420</v>
      </c>
      <c r="D65" s="11" t="s">
        <v>36</v>
      </c>
      <c r="E65" s="11">
        <v>6</v>
      </c>
      <c r="F65" s="11">
        <v>74364</v>
      </c>
    </row>
    <row r="66" spans="1:6" x14ac:dyDescent="0.3">
      <c r="A66" s="17">
        <v>45838</v>
      </c>
      <c r="B66" s="11" t="s">
        <v>414</v>
      </c>
      <c r="C66" s="11" t="s">
        <v>417</v>
      </c>
      <c r="D66" s="11" t="s">
        <v>66</v>
      </c>
      <c r="E66" s="11">
        <v>2</v>
      </c>
      <c r="F66" s="11">
        <v>7144</v>
      </c>
    </row>
    <row r="67" spans="1:6" x14ac:dyDescent="0.3">
      <c r="A67" s="17">
        <v>45841</v>
      </c>
      <c r="B67" s="11" t="s">
        <v>418</v>
      </c>
      <c r="C67" s="11" t="s">
        <v>415</v>
      </c>
      <c r="D67" s="11" t="s">
        <v>72</v>
      </c>
      <c r="E67" s="11">
        <v>8</v>
      </c>
      <c r="F67" s="11">
        <v>438864</v>
      </c>
    </row>
    <row r="68" spans="1:6" x14ac:dyDescent="0.3">
      <c r="A68" s="17">
        <v>45844</v>
      </c>
      <c r="B68" s="11" t="s">
        <v>414</v>
      </c>
      <c r="C68" s="11" t="s">
        <v>413</v>
      </c>
      <c r="D68" s="11" t="s">
        <v>89</v>
      </c>
      <c r="E68" s="11">
        <v>8</v>
      </c>
      <c r="F68" s="11">
        <v>239253</v>
      </c>
    </row>
    <row r="69" spans="1:6" x14ac:dyDescent="0.3">
      <c r="A69" s="17">
        <v>45847</v>
      </c>
      <c r="B69" s="11" t="s">
        <v>414</v>
      </c>
      <c r="C69" s="11" t="s">
        <v>421</v>
      </c>
      <c r="D69" s="11" t="s">
        <v>95</v>
      </c>
      <c r="E69" s="11">
        <v>9</v>
      </c>
      <c r="F69" s="11">
        <v>198212</v>
      </c>
    </row>
    <row r="70" spans="1:6" x14ac:dyDescent="0.3">
      <c r="A70" s="17">
        <v>45850</v>
      </c>
      <c r="B70" s="11" t="s">
        <v>414</v>
      </c>
      <c r="C70" s="11" t="s">
        <v>419</v>
      </c>
      <c r="D70" s="11" t="s">
        <v>72</v>
      </c>
      <c r="E70" s="11">
        <v>12</v>
      </c>
      <c r="F70" s="11">
        <v>50853</v>
      </c>
    </row>
    <row r="71" spans="1:6" x14ac:dyDescent="0.3">
      <c r="A71" s="17">
        <v>45853</v>
      </c>
      <c r="B71" s="11" t="s">
        <v>418</v>
      </c>
      <c r="C71" s="11" t="s">
        <v>413</v>
      </c>
      <c r="D71" s="11" t="s">
        <v>56</v>
      </c>
      <c r="E71" s="11">
        <v>2</v>
      </c>
      <c r="F71" s="11">
        <v>60284</v>
      </c>
    </row>
    <row r="72" spans="1:6" x14ac:dyDescent="0.3">
      <c r="A72" s="17">
        <v>45856</v>
      </c>
      <c r="B72" s="11" t="s">
        <v>414</v>
      </c>
      <c r="C72" s="11" t="s">
        <v>421</v>
      </c>
      <c r="D72" s="11" t="s">
        <v>97</v>
      </c>
      <c r="E72" s="11">
        <v>8</v>
      </c>
      <c r="F72" s="11">
        <v>178668</v>
      </c>
    </row>
    <row r="73" spans="1:6" x14ac:dyDescent="0.3">
      <c r="A73" s="17">
        <v>45859</v>
      </c>
      <c r="B73" s="11" t="s">
        <v>414</v>
      </c>
      <c r="C73" s="11" t="s">
        <v>413</v>
      </c>
      <c r="D73" s="11" t="s">
        <v>31</v>
      </c>
      <c r="E73" s="11">
        <v>8</v>
      </c>
      <c r="F73" s="11">
        <v>240662</v>
      </c>
    </row>
    <row r="74" spans="1:6" x14ac:dyDescent="0.3">
      <c r="A74" s="17">
        <v>45862</v>
      </c>
      <c r="B74" s="11" t="s">
        <v>412</v>
      </c>
      <c r="C74" s="11" t="s">
        <v>419</v>
      </c>
      <c r="D74" s="11" t="s">
        <v>54</v>
      </c>
      <c r="E74" s="11">
        <v>6</v>
      </c>
      <c r="F74" s="11">
        <v>24116</v>
      </c>
    </row>
    <row r="75" spans="1:6" x14ac:dyDescent="0.3">
      <c r="A75" s="17">
        <v>45865</v>
      </c>
      <c r="B75" s="11" t="s">
        <v>418</v>
      </c>
      <c r="C75" s="11" t="s">
        <v>413</v>
      </c>
      <c r="D75" s="11" t="s">
        <v>87</v>
      </c>
      <c r="E75" s="11">
        <v>12</v>
      </c>
      <c r="F75" s="11">
        <v>360263</v>
      </c>
    </row>
    <row r="76" spans="1:6" x14ac:dyDescent="0.3">
      <c r="A76" s="17">
        <v>45868</v>
      </c>
      <c r="B76" s="11" t="s">
        <v>416</v>
      </c>
      <c r="C76" s="11" t="s">
        <v>420</v>
      </c>
      <c r="D76" s="11" t="s">
        <v>54</v>
      </c>
      <c r="E76" s="11">
        <v>2</v>
      </c>
      <c r="F76" s="11">
        <v>23977</v>
      </c>
    </row>
    <row r="77" spans="1:6" x14ac:dyDescent="0.3">
      <c r="A77" s="17">
        <v>45871</v>
      </c>
      <c r="B77" s="11" t="s">
        <v>414</v>
      </c>
      <c r="C77" s="11" t="s">
        <v>419</v>
      </c>
      <c r="D77" s="11" t="s">
        <v>81</v>
      </c>
      <c r="E77" s="11">
        <v>4</v>
      </c>
      <c r="F77" s="11">
        <v>17900</v>
      </c>
    </row>
    <row r="78" spans="1:6" x14ac:dyDescent="0.3">
      <c r="A78" s="17">
        <v>45874</v>
      </c>
      <c r="B78" s="11" t="s">
        <v>414</v>
      </c>
      <c r="C78" s="11" t="s">
        <v>419</v>
      </c>
      <c r="D78" s="11" t="s">
        <v>31</v>
      </c>
      <c r="E78" s="11">
        <v>2</v>
      </c>
      <c r="F78" s="11">
        <v>8410</v>
      </c>
    </row>
    <row r="79" spans="1:6" x14ac:dyDescent="0.3">
      <c r="A79" s="17">
        <v>45877</v>
      </c>
      <c r="B79" s="11" t="s">
        <v>412</v>
      </c>
      <c r="C79" s="11" t="s">
        <v>419</v>
      </c>
      <c r="D79" s="11" t="s">
        <v>93</v>
      </c>
      <c r="E79" s="11">
        <v>4</v>
      </c>
      <c r="F79" s="11">
        <v>16508</v>
      </c>
    </row>
    <row r="80" spans="1:6" x14ac:dyDescent="0.3">
      <c r="A80" s="17">
        <v>45880</v>
      </c>
      <c r="B80" s="11" t="s">
        <v>418</v>
      </c>
      <c r="C80" s="11" t="s">
        <v>419</v>
      </c>
      <c r="D80" s="11" t="s">
        <v>81</v>
      </c>
      <c r="E80" s="11">
        <v>9</v>
      </c>
      <c r="F80" s="11">
        <v>36816</v>
      </c>
    </row>
    <row r="81" spans="1:6" x14ac:dyDescent="0.3">
      <c r="A81" s="17">
        <v>45883</v>
      </c>
      <c r="B81" s="11" t="s">
        <v>414</v>
      </c>
      <c r="C81" s="11" t="s">
        <v>417</v>
      </c>
      <c r="D81" s="11" t="s">
        <v>81</v>
      </c>
      <c r="E81" s="11">
        <v>6</v>
      </c>
      <c r="F81" s="11">
        <v>15882</v>
      </c>
    </row>
    <row r="82" spans="1:6" x14ac:dyDescent="0.3">
      <c r="A82" s="17">
        <v>45886</v>
      </c>
      <c r="B82" s="11" t="s">
        <v>414</v>
      </c>
      <c r="C82" s="11" t="s">
        <v>413</v>
      </c>
      <c r="D82" s="11" t="s">
        <v>61</v>
      </c>
      <c r="E82" s="11">
        <v>5</v>
      </c>
      <c r="F82" s="11">
        <v>149888</v>
      </c>
    </row>
    <row r="83" spans="1:6" x14ac:dyDescent="0.3">
      <c r="A83" s="17">
        <v>45889</v>
      </c>
      <c r="B83" s="11" t="s">
        <v>416</v>
      </c>
      <c r="C83" s="11" t="s">
        <v>417</v>
      </c>
      <c r="D83" s="11" t="s">
        <v>54</v>
      </c>
      <c r="E83" s="11">
        <v>6</v>
      </c>
      <c r="F83" s="11">
        <v>13979</v>
      </c>
    </row>
    <row r="84" spans="1:6" x14ac:dyDescent="0.3">
      <c r="A84" s="17">
        <v>45892</v>
      </c>
      <c r="B84" s="11" t="s">
        <v>412</v>
      </c>
      <c r="C84" s="11" t="s">
        <v>421</v>
      </c>
      <c r="D84" s="11" t="s">
        <v>54</v>
      </c>
      <c r="E84" s="11">
        <v>12</v>
      </c>
      <c r="F84" s="11">
        <v>265966</v>
      </c>
    </row>
    <row r="85" spans="1:6" x14ac:dyDescent="0.3">
      <c r="A85" s="17">
        <v>45895</v>
      </c>
      <c r="B85" s="11" t="s">
        <v>418</v>
      </c>
      <c r="C85" s="11" t="s">
        <v>417</v>
      </c>
      <c r="D85" s="11" t="s">
        <v>85</v>
      </c>
      <c r="E85" s="11">
        <v>9</v>
      </c>
      <c r="F85" s="11">
        <v>25388</v>
      </c>
    </row>
    <row r="86" spans="1:6" x14ac:dyDescent="0.3">
      <c r="A86" s="17">
        <v>45898</v>
      </c>
      <c r="B86" s="11" t="s">
        <v>418</v>
      </c>
      <c r="C86" s="11" t="s">
        <v>415</v>
      </c>
      <c r="D86" s="11" t="s">
        <v>54</v>
      </c>
      <c r="E86" s="11">
        <v>5</v>
      </c>
      <c r="F86" s="11">
        <v>274863</v>
      </c>
    </row>
    <row r="87" spans="1:6" x14ac:dyDescent="0.3">
      <c r="A87" s="17">
        <v>45901</v>
      </c>
      <c r="B87" s="11" t="s">
        <v>418</v>
      </c>
      <c r="C87" s="11" t="s">
        <v>421</v>
      </c>
      <c r="D87" s="11" t="s">
        <v>61</v>
      </c>
      <c r="E87" s="11">
        <v>1</v>
      </c>
      <c r="F87" s="11">
        <v>24375</v>
      </c>
    </row>
    <row r="88" spans="1:6" x14ac:dyDescent="0.3">
      <c r="A88" s="17">
        <v>45904</v>
      </c>
      <c r="B88" s="11" t="s">
        <v>412</v>
      </c>
      <c r="C88" s="11" t="s">
        <v>413</v>
      </c>
      <c r="D88" s="11" t="s">
        <v>36</v>
      </c>
      <c r="E88" s="11">
        <v>1</v>
      </c>
      <c r="F88" s="11">
        <v>32533</v>
      </c>
    </row>
    <row r="89" spans="1:6" x14ac:dyDescent="0.3">
      <c r="A89" s="17">
        <v>45907</v>
      </c>
      <c r="B89" s="11" t="s">
        <v>418</v>
      </c>
      <c r="C89" s="11" t="s">
        <v>417</v>
      </c>
      <c r="D89" s="11" t="s">
        <v>47</v>
      </c>
      <c r="E89" s="11">
        <v>11</v>
      </c>
      <c r="F89" s="11">
        <v>29521</v>
      </c>
    </row>
    <row r="90" spans="1:6" x14ac:dyDescent="0.3">
      <c r="A90" s="17">
        <v>45910</v>
      </c>
      <c r="B90" s="11" t="s">
        <v>416</v>
      </c>
      <c r="C90" s="11" t="s">
        <v>415</v>
      </c>
      <c r="D90" s="11" t="s">
        <v>85</v>
      </c>
      <c r="E90" s="11">
        <v>5</v>
      </c>
      <c r="F90" s="11">
        <v>276845</v>
      </c>
    </row>
    <row r="91" spans="1:6" x14ac:dyDescent="0.3">
      <c r="A91" s="17">
        <v>45913</v>
      </c>
      <c r="B91" s="11" t="s">
        <v>414</v>
      </c>
      <c r="C91" s="11" t="s">
        <v>419</v>
      </c>
      <c r="D91" s="11" t="s">
        <v>64</v>
      </c>
      <c r="E91" s="11">
        <v>3</v>
      </c>
      <c r="F91" s="11">
        <v>10420</v>
      </c>
    </row>
    <row r="92" spans="1:6" x14ac:dyDescent="0.3">
      <c r="A92" s="17">
        <v>45916</v>
      </c>
      <c r="B92" s="11" t="s">
        <v>418</v>
      </c>
      <c r="C92" s="11" t="s">
        <v>419</v>
      </c>
      <c r="D92" s="11" t="s">
        <v>43</v>
      </c>
      <c r="E92" s="11">
        <v>2</v>
      </c>
      <c r="F92" s="11">
        <v>9282</v>
      </c>
    </row>
    <row r="93" spans="1:6" x14ac:dyDescent="0.3">
      <c r="A93" s="17">
        <v>45919</v>
      </c>
      <c r="B93" s="11" t="s">
        <v>414</v>
      </c>
      <c r="C93" s="11" t="s">
        <v>415</v>
      </c>
      <c r="D93" s="11" t="s">
        <v>85</v>
      </c>
      <c r="E93" s="11">
        <v>11</v>
      </c>
      <c r="F93" s="11">
        <v>603439</v>
      </c>
    </row>
    <row r="94" spans="1:6" x14ac:dyDescent="0.3">
      <c r="A94" s="17">
        <v>45922</v>
      </c>
      <c r="B94" s="11" t="s">
        <v>412</v>
      </c>
      <c r="C94" s="11" t="s">
        <v>421</v>
      </c>
      <c r="D94" s="11" t="s">
        <v>85</v>
      </c>
      <c r="E94" s="11">
        <v>5</v>
      </c>
      <c r="F94" s="11">
        <v>108697</v>
      </c>
    </row>
    <row r="95" spans="1:6" x14ac:dyDescent="0.3">
      <c r="A95" s="17">
        <v>45925</v>
      </c>
      <c r="B95" s="11" t="s">
        <v>412</v>
      </c>
      <c r="C95" s="11" t="s">
        <v>415</v>
      </c>
      <c r="D95" s="11" t="s">
        <v>81</v>
      </c>
      <c r="E95" s="11">
        <v>7</v>
      </c>
      <c r="F95" s="11">
        <v>387966</v>
      </c>
    </row>
    <row r="96" spans="1:6" x14ac:dyDescent="0.3">
      <c r="A96" s="17">
        <v>45928</v>
      </c>
      <c r="B96" s="11" t="s">
        <v>412</v>
      </c>
      <c r="C96" s="11" t="s">
        <v>420</v>
      </c>
      <c r="D96" s="11" t="s">
        <v>70</v>
      </c>
      <c r="E96" s="11">
        <v>8</v>
      </c>
      <c r="F96" s="11">
        <v>97626</v>
      </c>
    </row>
    <row r="97" spans="1:6" x14ac:dyDescent="0.3">
      <c r="A97" s="17">
        <v>45931</v>
      </c>
      <c r="B97" s="11" t="s">
        <v>418</v>
      </c>
      <c r="C97" s="11" t="s">
        <v>420</v>
      </c>
      <c r="D97" s="11" t="s">
        <v>72</v>
      </c>
      <c r="E97" s="11">
        <v>5</v>
      </c>
      <c r="F97" s="11">
        <v>62658</v>
      </c>
    </row>
    <row r="98" spans="1:6" x14ac:dyDescent="0.3">
      <c r="A98" s="17">
        <v>45934</v>
      </c>
      <c r="B98" s="11" t="s">
        <v>416</v>
      </c>
      <c r="C98" s="11" t="s">
        <v>420</v>
      </c>
      <c r="D98" s="11" t="s">
        <v>95</v>
      </c>
      <c r="E98" s="11">
        <v>2</v>
      </c>
      <c r="F98" s="11">
        <v>23702</v>
      </c>
    </row>
    <row r="99" spans="1:6" x14ac:dyDescent="0.3">
      <c r="A99" s="17">
        <v>45937</v>
      </c>
      <c r="B99" s="11" t="s">
        <v>412</v>
      </c>
      <c r="C99" s="11" t="s">
        <v>413</v>
      </c>
      <c r="D99" s="11" t="s">
        <v>91</v>
      </c>
      <c r="E99" s="11">
        <v>2</v>
      </c>
      <c r="F99" s="11">
        <v>59286</v>
      </c>
    </row>
    <row r="100" spans="1:6" x14ac:dyDescent="0.3">
      <c r="A100" s="17">
        <v>45940</v>
      </c>
      <c r="B100" s="11" t="s">
        <v>412</v>
      </c>
      <c r="C100" s="11" t="s">
        <v>421</v>
      </c>
      <c r="D100" s="11" t="s">
        <v>81</v>
      </c>
      <c r="E100" s="11">
        <v>2</v>
      </c>
      <c r="F100" s="11">
        <v>43282</v>
      </c>
    </row>
    <row r="101" spans="1:6" x14ac:dyDescent="0.3">
      <c r="A101" s="17">
        <v>45943</v>
      </c>
      <c r="B101" s="11" t="s">
        <v>416</v>
      </c>
      <c r="C101" s="11" t="s">
        <v>419</v>
      </c>
      <c r="D101" s="11" t="s">
        <v>75</v>
      </c>
      <c r="E101" s="11">
        <v>12</v>
      </c>
      <c r="F101" s="11">
        <v>50864</v>
      </c>
    </row>
    <row r="102" spans="1:6" x14ac:dyDescent="0.3">
      <c r="A102" s="17">
        <v>45946</v>
      </c>
      <c r="B102" s="11" t="s">
        <v>414</v>
      </c>
      <c r="C102" s="11" t="s">
        <v>413</v>
      </c>
      <c r="D102" s="11" t="s">
        <v>36</v>
      </c>
      <c r="E102" s="11">
        <v>4</v>
      </c>
      <c r="F102" s="11">
        <v>120360</v>
      </c>
    </row>
    <row r="103" spans="1:6" x14ac:dyDescent="0.3">
      <c r="A103" s="17">
        <v>45949</v>
      </c>
      <c r="B103" s="11" t="s">
        <v>418</v>
      </c>
      <c r="C103" s="11" t="s">
        <v>417</v>
      </c>
      <c r="D103" s="11" t="s">
        <v>75</v>
      </c>
      <c r="E103" s="11">
        <v>2</v>
      </c>
      <c r="F103" s="11">
        <v>4912</v>
      </c>
    </row>
    <row r="104" spans="1:6" x14ac:dyDescent="0.3">
      <c r="A104" s="17">
        <v>45952</v>
      </c>
      <c r="B104" s="11" t="s">
        <v>418</v>
      </c>
      <c r="C104" s="11" t="s">
        <v>417</v>
      </c>
      <c r="D104" s="11" t="s">
        <v>85</v>
      </c>
      <c r="E104" s="11">
        <v>11</v>
      </c>
      <c r="F104" s="11">
        <v>27120</v>
      </c>
    </row>
    <row r="105" spans="1:6" x14ac:dyDescent="0.3">
      <c r="A105" s="17">
        <v>45955</v>
      </c>
      <c r="B105" s="11" t="s">
        <v>414</v>
      </c>
      <c r="C105" s="11" t="s">
        <v>415</v>
      </c>
      <c r="D105" s="11" t="s">
        <v>81</v>
      </c>
      <c r="E105" s="11">
        <v>4</v>
      </c>
      <c r="F105" s="11">
        <v>219220</v>
      </c>
    </row>
    <row r="108" spans="1:6" x14ac:dyDescent="0.3">
      <c r="A108" s="10" t="s">
        <v>148</v>
      </c>
      <c r="B108" s="10" t="s">
        <v>149</v>
      </c>
      <c r="C108" s="10" t="s">
        <v>150</v>
      </c>
      <c r="D108" s="10" t="s">
        <v>151</v>
      </c>
      <c r="E108" s="10" t="s">
        <v>152</v>
      </c>
      <c r="F108" s="10" t="s">
        <v>153</v>
      </c>
    </row>
    <row r="109" spans="1:6" ht="28.8" x14ac:dyDescent="0.3">
      <c r="A109" s="11">
        <v>1</v>
      </c>
      <c r="B109" s="11" t="s">
        <v>422</v>
      </c>
      <c r="C109" s="12" t="s">
        <v>3</v>
      </c>
      <c r="D109" s="11" t="s">
        <v>423</v>
      </c>
      <c r="E109" s="11">
        <f>SUMIF($B$6:$B$105,"North",$F$6:$F$105)</f>
        <v>1389769</v>
      </c>
      <c r="F109" s="11" t="s">
        <v>424</v>
      </c>
    </row>
    <row r="110" spans="1:6" ht="28.8" x14ac:dyDescent="0.3">
      <c r="A110" s="11">
        <v>2</v>
      </c>
      <c r="B110" s="11" t="s">
        <v>425</v>
      </c>
      <c r="C110" s="12" t="s">
        <v>3</v>
      </c>
      <c r="D110" s="11" t="s">
        <v>426</v>
      </c>
      <c r="E110" s="11">
        <f>SUMIF($C$6:$C$105,"Laptop",$F$6:$F$105)</f>
        <v>5558838</v>
      </c>
      <c r="F110" s="11" t="s">
        <v>424</v>
      </c>
    </row>
    <row r="111" spans="1:6" ht="28.8" x14ac:dyDescent="0.3">
      <c r="A111" s="11">
        <v>3</v>
      </c>
      <c r="B111" s="11" t="s">
        <v>427</v>
      </c>
      <c r="C111" s="12" t="s">
        <v>3</v>
      </c>
      <c r="D111" s="11" t="s">
        <v>428</v>
      </c>
      <c r="E111" s="11">
        <f>SUMIFS($F$6:$F$105,$A$6:$A$105,"&gt;="&amp;DATE(2025,1,1),$A$6:$A$105,"&lt;="&amp;DATE(2025,12,31))</f>
        <v>11844895</v>
      </c>
      <c r="F111" s="11" t="s">
        <v>424</v>
      </c>
    </row>
    <row r="112" spans="1:6" ht="28.8" x14ac:dyDescent="0.3">
      <c r="A112" s="11">
        <v>4</v>
      </c>
      <c r="B112" s="11" t="s">
        <v>429</v>
      </c>
      <c r="C112" s="13" t="s">
        <v>4</v>
      </c>
      <c r="D112" s="11" t="s">
        <v>430</v>
      </c>
      <c r="E112" s="11">
        <f>AVERAGEIF($B$6:$B$105,"North",$F$6:$F$105)</f>
        <v>81751.117647058825</v>
      </c>
      <c r="F112" s="11" t="s">
        <v>424</v>
      </c>
    </row>
    <row r="113" spans="1:8" ht="28.8" x14ac:dyDescent="0.3">
      <c r="A113" s="11">
        <v>5</v>
      </c>
      <c r="B113" s="11" t="s">
        <v>431</v>
      </c>
      <c r="C113" s="13" t="s">
        <v>4</v>
      </c>
      <c r="D113" s="11" t="s">
        <v>432</v>
      </c>
      <c r="E113" s="11">
        <f>SUMIF($C$6:$C$105,"Laptop",$E$6:$E$105)</f>
        <v>101</v>
      </c>
      <c r="F113" s="11" t="s">
        <v>424</v>
      </c>
    </row>
    <row r="114" spans="1:8" ht="28.8" x14ac:dyDescent="0.3">
      <c r="A114" s="11">
        <v>6</v>
      </c>
      <c r="B114" s="11" t="s">
        <v>433</v>
      </c>
      <c r="C114" s="13" t="s">
        <v>4</v>
      </c>
      <c r="D114" s="11" t="s">
        <v>434</v>
      </c>
      <c r="E114" s="11">
        <f>COUNTIF($D$6:$D$105,"*"&amp;A6&amp;"*")</f>
        <v>0</v>
      </c>
      <c r="F114" s="11" t="s">
        <v>424</v>
      </c>
    </row>
    <row r="115" spans="1:8" ht="28.8" x14ac:dyDescent="0.3">
      <c r="A115" s="11">
        <v>7</v>
      </c>
      <c r="B115" s="11" t="s">
        <v>435</v>
      </c>
      <c r="C115" s="14" t="s">
        <v>5</v>
      </c>
      <c r="D115" s="11" t="s">
        <v>436</v>
      </c>
      <c r="E115" s="11">
        <f>MAX($F$6:$F$105)</f>
        <v>659989</v>
      </c>
      <c r="F115" s="11" t="s">
        <v>424</v>
      </c>
    </row>
    <row r="116" spans="1:8" ht="28.8" x14ac:dyDescent="0.3">
      <c r="A116" s="11">
        <v>8</v>
      </c>
      <c r="B116" s="11" t="s">
        <v>437</v>
      </c>
      <c r="C116" s="14" t="s">
        <v>5</v>
      </c>
      <c r="D116" s="11" t="s">
        <v>438</v>
      </c>
      <c r="E116" s="11" t="str">
        <f>INDEX($B$6:$B$105,MATCH(MAX($F$6:$F$105),$F$6:$F$105,0))</f>
        <v>South</v>
      </c>
      <c r="F116" s="11" t="s">
        <v>424</v>
      </c>
    </row>
    <row r="117" spans="1:8" ht="28.8" x14ac:dyDescent="0.3">
      <c r="A117" s="11">
        <v>9</v>
      </c>
      <c r="B117" s="11" t="s">
        <v>439</v>
      </c>
      <c r="C117" s="14" t="s">
        <v>5</v>
      </c>
      <c r="D117" s="11" t="s">
        <v>440</v>
      </c>
      <c r="E117" s="11">
        <f>SUMIFS($F$6:$F$105,$A$6:$A$105,"&gt;="&amp;DATE(2025,1,1),$A$6:$A$105,"&lt;="&amp;DATE(2025,12,31),$B$6:$B$105,"North")</f>
        <v>1389769</v>
      </c>
      <c r="F117" s="11" t="s">
        <v>424</v>
      </c>
    </row>
    <row r="118" spans="1:8" ht="43.2" x14ac:dyDescent="0.3">
      <c r="A118" s="11">
        <v>10</v>
      </c>
      <c r="B118" s="11" t="s">
        <v>441</v>
      </c>
      <c r="C118" s="15" t="s">
        <v>6</v>
      </c>
      <c r="D118" s="11" t="s">
        <v>442</v>
      </c>
      <c r="E118" s="11" t="str">
        <f>INDEX($B$6:$B$105,MATCH(MAX($F$6:$F$105),$F$6:$F$105,0))</f>
        <v>South</v>
      </c>
      <c r="F118" s="11" t="s">
        <v>424</v>
      </c>
    </row>
    <row r="120" spans="1:8" x14ac:dyDescent="0.3">
      <c r="A120" s="41" t="s">
        <v>533</v>
      </c>
      <c r="B120" t="s">
        <v>532</v>
      </c>
      <c r="D120" s="41" t="s">
        <v>533</v>
      </c>
      <c r="E120" t="s">
        <v>532</v>
      </c>
      <c r="G120" s="41" t="s">
        <v>533</v>
      </c>
      <c r="H120" t="s">
        <v>532</v>
      </c>
    </row>
    <row r="121" spans="1:8" x14ac:dyDescent="0.3">
      <c r="A121" s="42" t="s">
        <v>418</v>
      </c>
      <c r="B121" s="40">
        <v>2402395</v>
      </c>
      <c r="D121" s="42" t="s">
        <v>419</v>
      </c>
      <c r="E121" s="40">
        <v>665987</v>
      </c>
      <c r="G121" s="42" t="s">
        <v>535</v>
      </c>
      <c r="H121" s="40">
        <v>2279565</v>
      </c>
    </row>
    <row r="122" spans="1:8" x14ac:dyDescent="0.3">
      <c r="A122" s="42" t="s">
        <v>416</v>
      </c>
      <c r="B122" s="40">
        <v>1389769</v>
      </c>
      <c r="D122" s="42" t="s">
        <v>417</v>
      </c>
      <c r="E122" s="40">
        <v>327841</v>
      </c>
      <c r="G122" s="42" t="s">
        <v>536</v>
      </c>
      <c r="H122" s="40">
        <v>436468</v>
      </c>
    </row>
    <row r="123" spans="1:8" x14ac:dyDescent="0.3">
      <c r="A123" s="42" t="s">
        <v>412</v>
      </c>
      <c r="B123" s="40">
        <v>3929486</v>
      </c>
      <c r="D123" s="42" t="s">
        <v>415</v>
      </c>
      <c r="E123" s="40">
        <v>5558838</v>
      </c>
      <c r="G123" s="42" t="s">
        <v>537</v>
      </c>
      <c r="H123" s="40">
        <v>839233</v>
      </c>
    </row>
    <row r="124" spans="1:8" x14ac:dyDescent="0.3">
      <c r="A124" s="42" t="s">
        <v>414</v>
      </c>
      <c r="B124" s="40">
        <v>4123245</v>
      </c>
      <c r="D124" s="42" t="s">
        <v>421</v>
      </c>
      <c r="E124" s="40">
        <v>1943801</v>
      </c>
      <c r="G124" s="42" t="s">
        <v>538</v>
      </c>
      <c r="H124" s="40">
        <v>947184</v>
      </c>
    </row>
    <row r="125" spans="1:8" x14ac:dyDescent="0.3">
      <c r="A125" s="42" t="s">
        <v>534</v>
      </c>
      <c r="B125" s="40">
        <v>11844895</v>
      </c>
      <c r="D125" s="42" t="s">
        <v>420</v>
      </c>
      <c r="E125" s="40">
        <v>829400</v>
      </c>
      <c r="G125" s="42" t="s">
        <v>539</v>
      </c>
      <c r="H125" s="40">
        <v>943067</v>
      </c>
    </row>
    <row r="126" spans="1:8" x14ac:dyDescent="0.3">
      <c r="A126" s="42" t="s">
        <v>545</v>
      </c>
      <c r="D126" s="42" t="s">
        <v>413</v>
      </c>
      <c r="E126" s="40">
        <v>2519028</v>
      </c>
      <c r="G126" s="42" t="s">
        <v>540</v>
      </c>
      <c r="H126" s="40">
        <v>1566518</v>
      </c>
    </row>
    <row r="127" spans="1:8" x14ac:dyDescent="0.3">
      <c r="D127" s="42" t="s">
        <v>534</v>
      </c>
      <c r="E127" s="40">
        <v>11844895</v>
      </c>
      <c r="G127" s="42" t="s">
        <v>541</v>
      </c>
      <c r="H127" s="40">
        <v>1815152</v>
      </c>
    </row>
    <row r="128" spans="1:8" x14ac:dyDescent="0.3">
      <c r="A128" s="42" t="s">
        <v>548</v>
      </c>
      <c r="D128" s="42" t="s">
        <v>546</v>
      </c>
      <c r="G128" s="42" t="s">
        <v>542</v>
      </c>
      <c r="H128" s="40">
        <v>825600</v>
      </c>
    </row>
    <row r="129" spans="1:8" x14ac:dyDescent="0.3">
      <c r="A129">
        <f>AVERAGE(B121:B124)</f>
        <v>2961223.75</v>
      </c>
      <c r="G129" s="42" t="s">
        <v>543</v>
      </c>
      <c r="H129" s="40">
        <v>1580704</v>
      </c>
    </row>
    <row r="130" spans="1:8" x14ac:dyDescent="0.3">
      <c r="G130" s="42" t="s">
        <v>544</v>
      </c>
      <c r="H130" s="40">
        <v>611404</v>
      </c>
    </row>
    <row r="131" spans="1:8" x14ac:dyDescent="0.3">
      <c r="A131" t="s">
        <v>552</v>
      </c>
      <c r="D131" s="41" t="s">
        <v>533</v>
      </c>
      <c r="E131" t="s">
        <v>549</v>
      </c>
      <c r="G131" s="42" t="s">
        <v>534</v>
      </c>
      <c r="H131" s="40">
        <v>11844895</v>
      </c>
    </row>
    <row r="132" spans="1:8" x14ac:dyDescent="0.3">
      <c r="A132">
        <f>MAX(B121:B124)</f>
        <v>4123245</v>
      </c>
      <c r="B132" t="s">
        <v>553</v>
      </c>
      <c r="D132" s="42" t="s">
        <v>419</v>
      </c>
      <c r="E132" s="40">
        <v>161</v>
      </c>
      <c r="G132" s="42" t="s">
        <v>547</v>
      </c>
    </row>
    <row r="133" spans="1:8" x14ac:dyDescent="0.3">
      <c r="D133" s="42" t="s">
        <v>417</v>
      </c>
      <c r="E133" s="40">
        <v>125</v>
      </c>
    </row>
    <row r="134" spans="1:8" x14ac:dyDescent="0.3">
      <c r="A134" t="s">
        <v>554</v>
      </c>
      <c r="D134" s="42" t="s">
        <v>415</v>
      </c>
      <c r="E134" s="40">
        <v>101</v>
      </c>
      <c r="G134" s="41" t="s">
        <v>533</v>
      </c>
      <c r="H134" t="s">
        <v>532</v>
      </c>
    </row>
    <row r="135" spans="1:8" x14ac:dyDescent="0.3">
      <c r="A135">
        <f>MAX(E121:E126)</f>
        <v>5558838</v>
      </c>
      <c r="B135" t="s">
        <v>555</v>
      </c>
      <c r="D135" s="42" t="s">
        <v>421</v>
      </c>
      <c r="E135" s="40">
        <v>88</v>
      </c>
      <c r="G135" s="42" t="s">
        <v>81</v>
      </c>
      <c r="H135" s="40">
        <v>1070747</v>
      </c>
    </row>
    <row r="136" spans="1:8" x14ac:dyDescent="0.3">
      <c r="D136" s="42" t="s">
        <v>420</v>
      </c>
      <c r="E136" s="40">
        <v>68</v>
      </c>
      <c r="G136" s="42" t="s">
        <v>79</v>
      </c>
      <c r="H136" s="40">
        <v>494614</v>
      </c>
    </row>
    <row r="137" spans="1:8" x14ac:dyDescent="0.3">
      <c r="D137" s="42" t="s">
        <v>413</v>
      </c>
      <c r="E137" s="40">
        <v>84</v>
      </c>
      <c r="G137" s="42" t="s">
        <v>61</v>
      </c>
      <c r="H137" s="40">
        <v>304314</v>
      </c>
    </row>
    <row r="138" spans="1:8" x14ac:dyDescent="0.3">
      <c r="D138" s="42" t="s">
        <v>534</v>
      </c>
      <c r="E138" s="40">
        <v>627</v>
      </c>
      <c r="G138" s="42" t="s">
        <v>43</v>
      </c>
      <c r="H138" s="40">
        <v>337952</v>
      </c>
    </row>
    <row r="139" spans="1:8" x14ac:dyDescent="0.3">
      <c r="D139" s="42" t="s">
        <v>550</v>
      </c>
      <c r="G139" s="42" t="s">
        <v>51</v>
      </c>
      <c r="H139" s="40">
        <v>685253</v>
      </c>
    </row>
    <row r="140" spans="1:8" x14ac:dyDescent="0.3">
      <c r="G140" s="42" t="s">
        <v>70</v>
      </c>
      <c r="H140" s="40">
        <v>692189</v>
      </c>
    </row>
    <row r="141" spans="1:8" x14ac:dyDescent="0.3">
      <c r="G141" s="42" t="s">
        <v>87</v>
      </c>
      <c r="H141" s="40">
        <v>974114</v>
      </c>
    </row>
    <row r="142" spans="1:8" x14ac:dyDescent="0.3">
      <c r="G142" s="42" t="s">
        <v>66</v>
      </c>
      <c r="H142" s="40">
        <v>7144</v>
      </c>
    </row>
    <row r="143" spans="1:8" x14ac:dyDescent="0.3">
      <c r="G143" s="42" t="s">
        <v>41</v>
      </c>
      <c r="H143" s="40">
        <v>70533</v>
      </c>
    </row>
    <row r="144" spans="1:8" x14ac:dyDescent="0.3">
      <c r="G144" s="42" t="s">
        <v>95</v>
      </c>
      <c r="H144" s="40">
        <v>232076</v>
      </c>
    </row>
    <row r="145" spans="7:8" x14ac:dyDescent="0.3">
      <c r="G145" s="42" t="s">
        <v>77</v>
      </c>
      <c r="H145" s="40">
        <v>460571</v>
      </c>
    </row>
    <row r="146" spans="7:8" x14ac:dyDescent="0.3">
      <c r="G146" s="42" t="s">
        <v>93</v>
      </c>
      <c r="H146" s="40">
        <v>52245</v>
      </c>
    </row>
    <row r="147" spans="7:8" x14ac:dyDescent="0.3">
      <c r="G147" s="42" t="s">
        <v>89</v>
      </c>
      <c r="H147" s="40">
        <v>239253</v>
      </c>
    </row>
    <row r="148" spans="7:8" x14ac:dyDescent="0.3">
      <c r="G148" s="42" t="s">
        <v>75</v>
      </c>
      <c r="H148" s="40">
        <v>369765</v>
      </c>
    </row>
    <row r="149" spans="7:8" x14ac:dyDescent="0.3">
      <c r="G149" s="42" t="s">
        <v>54</v>
      </c>
      <c r="H149" s="40">
        <v>700701</v>
      </c>
    </row>
    <row r="150" spans="7:8" x14ac:dyDescent="0.3">
      <c r="G150" s="42" t="s">
        <v>72</v>
      </c>
      <c r="H150" s="40">
        <v>1186632</v>
      </c>
    </row>
    <row r="151" spans="7:8" x14ac:dyDescent="0.3">
      <c r="G151" s="42" t="s">
        <v>36</v>
      </c>
      <c r="H151" s="40">
        <v>244698</v>
      </c>
    </row>
    <row r="152" spans="7:8" x14ac:dyDescent="0.3">
      <c r="G152" s="42" t="s">
        <v>31</v>
      </c>
      <c r="H152" s="40">
        <v>295523</v>
      </c>
    </row>
    <row r="153" spans="7:8" x14ac:dyDescent="0.3">
      <c r="G153" s="42" t="s">
        <v>64</v>
      </c>
      <c r="H153" s="40">
        <v>35525</v>
      </c>
    </row>
    <row r="154" spans="7:8" x14ac:dyDescent="0.3">
      <c r="G154" s="42" t="s">
        <v>56</v>
      </c>
      <c r="H154" s="40">
        <v>120245</v>
      </c>
    </row>
    <row r="155" spans="7:8" x14ac:dyDescent="0.3">
      <c r="G155" s="42" t="s">
        <v>97</v>
      </c>
      <c r="H155" s="40">
        <v>615963</v>
      </c>
    </row>
    <row r="156" spans="7:8" x14ac:dyDescent="0.3">
      <c r="G156" s="42" t="s">
        <v>91</v>
      </c>
      <c r="H156" s="40">
        <v>387120</v>
      </c>
    </row>
    <row r="157" spans="7:8" x14ac:dyDescent="0.3">
      <c r="G157" s="42" t="s">
        <v>58</v>
      </c>
      <c r="H157" s="40">
        <v>395533</v>
      </c>
    </row>
    <row r="158" spans="7:8" x14ac:dyDescent="0.3">
      <c r="G158" s="42" t="s">
        <v>85</v>
      </c>
      <c r="H158" s="40">
        <v>1750845</v>
      </c>
    </row>
    <row r="159" spans="7:8" x14ac:dyDescent="0.3">
      <c r="G159" s="42" t="s">
        <v>47</v>
      </c>
      <c r="H159" s="40">
        <v>121340</v>
      </c>
    </row>
    <row r="160" spans="7:8" x14ac:dyDescent="0.3">
      <c r="G160" s="42" t="s">
        <v>534</v>
      </c>
      <c r="H160" s="40">
        <v>11844895</v>
      </c>
    </row>
    <row r="161" spans="7:7" x14ac:dyDescent="0.3">
      <c r="G161" s="42" t="s">
        <v>551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3"/>
  <sheetViews>
    <sheetView showGridLines="0" topLeftCell="B1" workbookViewId="0">
      <pane ySplit="4" topLeftCell="A133" activePane="bottomLeft" state="frozen"/>
      <selection pane="bottomLeft" activeCell="F120" sqref="F120:G127"/>
    </sheetView>
  </sheetViews>
  <sheetFormatPr defaultRowHeight="14.4" x14ac:dyDescent="0.3"/>
  <cols>
    <col min="1" max="1" width="12.5546875" bestFit="1" customWidth="1"/>
    <col min="2" max="2" width="31.44140625" customWidth="1"/>
    <col min="3" max="3" width="14" customWidth="1"/>
    <col min="4" max="4" width="24" customWidth="1"/>
    <col min="5" max="5" width="32.88671875" customWidth="1"/>
    <col min="6" max="6" width="14.88671875" bestFit="1" customWidth="1"/>
    <col min="7" max="7" width="14.109375" customWidth="1"/>
  </cols>
  <sheetData>
    <row r="1" spans="1:6" ht="24" customHeight="1" x14ac:dyDescent="0.4">
      <c r="A1" s="1" t="s">
        <v>443</v>
      </c>
    </row>
    <row r="2" spans="1:6" x14ac:dyDescent="0.3">
      <c r="A2" s="2" t="s">
        <v>404</v>
      </c>
    </row>
    <row r="4" spans="1:6" ht="22.05" customHeight="1" x14ac:dyDescent="0.3">
      <c r="A4" s="7" t="s">
        <v>405</v>
      </c>
    </row>
    <row r="5" spans="1:6" x14ac:dyDescent="0.3">
      <c r="A5" s="16" t="s">
        <v>406</v>
      </c>
      <c r="B5" s="16" t="s">
        <v>407</v>
      </c>
      <c r="C5" s="16" t="s">
        <v>408</v>
      </c>
      <c r="D5" s="16" t="s">
        <v>409</v>
      </c>
      <c r="E5" s="16" t="s">
        <v>410</v>
      </c>
      <c r="F5" s="16" t="s">
        <v>411</v>
      </c>
    </row>
    <row r="6" spans="1:6" x14ac:dyDescent="0.3">
      <c r="A6" s="17">
        <v>45658</v>
      </c>
      <c r="B6" s="11" t="s">
        <v>412</v>
      </c>
      <c r="C6" s="11" t="s">
        <v>413</v>
      </c>
      <c r="D6" s="11" t="s">
        <v>51</v>
      </c>
      <c r="E6" s="11">
        <v>12</v>
      </c>
      <c r="F6" s="11">
        <v>358885</v>
      </c>
    </row>
    <row r="7" spans="1:6" x14ac:dyDescent="0.3">
      <c r="A7" s="17">
        <v>45661</v>
      </c>
      <c r="B7" s="11" t="s">
        <v>414</v>
      </c>
      <c r="C7" s="11" t="s">
        <v>415</v>
      </c>
      <c r="D7" s="11" t="s">
        <v>77</v>
      </c>
      <c r="E7" s="11">
        <v>4</v>
      </c>
      <c r="F7" s="11">
        <v>219634</v>
      </c>
    </row>
    <row r="8" spans="1:6" x14ac:dyDescent="0.3">
      <c r="A8" s="17">
        <v>45664</v>
      </c>
      <c r="B8" s="11" t="s">
        <v>414</v>
      </c>
      <c r="C8" s="11" t="s">
        <v>413</v>
      </c>
      <c r="D8" s="11" t="s">
        <v>61</v>
      </c>
      <c r="E8" s="11">
        <v>4</v>
      </c>
      <c r="F8" s="11">
        <v>119826</v>
      </c>
    </row>
    <row r="9" spans="1:6" x14ac:dyDescent="0.3">
      <c r="A9" s="17">
        <v>45667</v>
      </c>
      <c r="B9" s="11" t="s">
        <v>416</v>
      </c>
      <c r="C9" s="11" t="s">
        <v>417</v>
      </c>
      <c r="D9" s="11" t="s">
        <v>54</v>
      </c>
      <c r="E9" s="11">
        <v>7</v>
      </c>
      <c r="F9" s="11">
        <v>18189</v>
      </c>
    </row>
    <row r="10" spans="1:6" x14ac:dyDescent="0.3">
      <c r="A10" s="17">
        <v>45670</v>
      </c>
      <c r="B10" s="11" t="s">
        <v>418</v>
      </c>
      <c r="C10" s="11" t="s">
        <v>415</v>
      </c>
      <c r="D10" s="11" t="s">
        <v>97</v>
      </c>
      <c r="E10" s="11">
        <v>5</v>
      </c>
      <c r="F10" s="11">
        <v>275876</v>
      </c>
    </row>
    <row r="11" spans="1:6" x14ac:dyDescent="0.3">
      <c r="A11" s="17">
        <v>45673</v>
      </c>
      <c r="B11" s="11" t="s">
        <v>414</v>
      </c>
      <c r="C11" s="11" t="s">
        <v>417</v>
      </c>
      <c r="D11" s="11" t="s">
        <v>81</v>
      </c>
      <c r="E11" s="11">
        <v>6</v>
      </c>
      <c r="F11" s="11">
        <v>13226</v>
      </c>
    </row>
    <row r="12" spans="1:6" x14ac:dyDescent="0.3">
      <c r="A12" s="17">
        <v>45676</v>
      </c>
      <c r="B12" s="11" t="s">
        <v>416</v>
      </c>
      <c r="C12" s="11" t="s">
        <v>413</v>
      </c>
      <c r="D12" s="11" t="s">
        <v>51</v>
      </c>
      <c r="E12" s="11">
        <v>10</v>
      </c>
      <c r="F12" s="11">
        <v>300174</v>
      </c>
    </row>
    <row r="13" spans="1:6" x14ac:dyDescent="0.3">
      <c r="A13" s="17">
        <v>45679</v>
      </c>
      <c r="B13" s="11" t="s">
        <v>416</v>
      </c>
      <c r="C13" s="11" t="s">
        <v>415</v>
      </c>
      <c r="D13" s="11" t="s">
        <v>87</v>
      </c>
      <c r="E13" s="11">
        <v>7</v>
      </c>
      <c r="F13" s="11">
        <v>385831</v>
      </c>
    </row>
    <row r="14" spans="1:6" x14ac:dyDescent="0.3">
      <c r="A14" s="17">
        <v>45682</v>
      </c>
      <c r="B14" s="11" t="s">
        <v>418</v>
      </c>
      <c r="C14" s="11" t="s">
        <v>419</v>
      </c>
      <c r="D14" s="11" t="s">
        <v>87</v>
      </c>
      <c r="E14" s="11">
        <v>9</v>
      </c>
      <c r="F14" s="11">
        <v>34947</v>
      </c>
    </row>
    <row r="15" spans="1:6" x14ac:dyDescent="0.3">
      <c r="A15" s="17">
        <v>45685</v>
      </c>
      <c r="B15" s="11" t="s">
        <v>414</v>
      </c>
      <c r="C15" s="11" t="s">
        <v>420</v>
      </c>
      <c r="D15" s="11" t="s">
        <v>54</v>
      </c>
      <c r="E15" s="11">
        <v>5</v>
      </c>
      <c r="F15" s="11">
        <v>58363</v>
      </c>
    </row>
    <row r="16" spans="1:6" x14ac:dyDescent="0.3">
      <c r="A16" s="17">
        <v>45688</v>
      </c>
      <c r="B16" s="11" t="s">
        <v>414</v>
      </c>
      <c r="C16" s="11" t="s">
        <v>415</v>
      </c>
      <c r="D16" s="11" t="s">
        <v>79</v>
      </c>
      <c r="E16" s="11">
        <v>9</v>
      </c>
      <c r="F16" s="11">
        <v>494614</v>
      </c>
    </row>
    <row r="17" spans="1:6" x14ac:dyDescent="0.3">
      <c r="A17" s="17">
        <v>45691</v>
      </c>
      <c r="B17" s="11" t="s">
        <v>418</v>
      </c>
      <c r="C17" s="11" t="s">
        <v>419</v>
      </c>
      <c r="D17" s="11" t="s">
        <v>41</v>
      </c>
      <c r="E17" s="11">
        <v>11</v>
      </c>
      <c r="F17" s="11">
        <v>44704</v>
      </c>
    </row>
    <row r="18" spans="1:6" x14ac:dyDescent="0.3">
      <c r="A18" s="17">
        <v>45694</v>
      </c>
      <c r="B18" s="11" t="s">
        <v>418</v>
      </c>
      <c r="C18" s="11" t="s">
        <v>417</v>
      </c>
      <c r="D18" s="11" t="s">
        <v>43</v>
      </c>
      <c r="E18" s="11">
        <v>12</v>
      </c>
      <c r="F18" s="11">
        <v>30460</v>
      </c>
    </row>
    <row r="19" spans="1:6" x14ac:dyDescent="0.3">
      <c r="A19" s="17">
        <v>45697</v>
      </c>
      <c r="B19" s="11" t="s">
        <v>418</v>
      </c>
      <c r="C19" s="11" t="s">
        <v>417</v>
      </c>
      <c r="D19" s="11" t="s">
        <v>72</v>
      </c>
      <c r="E19" s="11">
        <v>6</v>
      </c>
      <c r="F19" s="11">
        <v>16296</v>
      </c>
    </row>
    <row r="20" spans="1:6" x14ac:dyDescent="0.3">
      <c r="A20" s="17">
        <v>45700</v>
      </c>
      <c r="B20" s="11" t="s">
        <v>418</v>
      </c>
      <c r="C20" s="11" t="s">
        <v>420</v>
      </c>
      <c r="D20" s="11" t="s">
        <v>47</v>
      </c>
      <c r="E20" s="11">
        <v>4</v>
      </c>
      <c r="F20" s="11">
        <v>49444</v>
      </c>
    </row>
    <row r="21" spans="1:6" x14ac:dyDescent="0.3">
      <c r="A21" s="17">
        <v>45703</v>
      </c>
      <c r="B21" s="11" t="s">
        <v>414</v>
      </c>
      <c r="C21" s="11" t="s">
        <v>417</v>
      </c>
      <c r="D21" s="11" t="s">
        <v>95</v>
      </c>
      <c r="E21" s="11">
        <v>3</v>
      </c>
      <c r="F21" s="11">
        <v>10162</v>
      </c>
    </row>
    <row r="22" spans="1:6" x14ac:dyDescent="0.3">
      <c r="A22" s="17">
        <v>45706</v>
      </c>
      <c r="B22" s="11" t="s">
        <v>418</v>
      </c>
      <c r="C22" s="11" t="s">
        <v>419</v>
      </c>
      <c r="D22" s="11" t="s">
        <v>81</v>
      </c>
      <c r="E22" s="11">
        <v>1</v>
      </c>
      <c r="F22" s="11">
        <v>4489</v>
      </c>
    </row>
    <row r="23" spans="1:6" x14ac:dyDescent="0.3">
      <c r="A23" s="17">
        <v>45709</v>
      </c>
      <c r="B23" s="11" t="s">
        <v>418</v>
      </c>
      <c r="C23" s="11" t="s">
        <v>421</v>
      </c>
      <c r="D23" s="11" t="s">
        <v>72</v>
      </c>
      <c r="E23" s="11">
        <v>10</v>
      </c>
      <c r="F23" s="11">
        <v>222969</v>
      </c>
    </row>
    <row r="24" spans="1:6" x14ac:dyDescent="0.3">
      <c r="A24" s="17">
        <v>45712</v>
      </c>
      <c r="B24" s="11" t="s">
        <v>418</v>
      </c>
      <c r="C24" s="11" t="s">
        <v>419</v>
      </c>
      <c r="D24" s="11" t="s">
        <v>75</v>
      </c>
      <c r="E24" s="11">
        <v>8</v>
      </c>
      <c r="F24" s="11">
        <v>31750</v>
      </c>
    </row>
    <row r="25" spans="1:6" x14ac:dyDescent="0.3">
      <c r="A25" s="17">
        <v>45715</v>
      </c>
      <c r="B25" s="11" t="s">
        <v>414</v>
      </c>
      <c r="C25" s="11" t="s">
        <v>417</v>
      </c>
      <c r="D25" s="11" t="s">
        <v>51</v>
      </c>
      <c r="E25" s="11">
        <v>11</v>
      </c>
      <c r="F25" s="11">
        <v>26194</v>
      </c>
    </row>
    <row r="26" spans="1:6" x14ac:dyDescent="0.3">
      <c r="A26" s="17">
        <v>45718</v>
      </c>
      <c r="B26" s="11" t="s">
        <v>418</v>
      </c>
      <c r="C26" s="11" t="s">
        <v>420</v>
      </c>
      <c r="D26" s="11" t="s">
        <v>91</v>
      </c>
      <c r="E26" s="11">
        <v>11</v>
      </c>
      <c r="F26" s="11">
        <v>132745</v>
      </c>
    </row>
    <row r="27" spans="1:6" x14ac:dyDescent="0.3">
      <c r="A27" s="17">
        <v>45721</v>
      </c>
      <c r="B27" s="11" t="s">
        <v>416</v>
      </c>
      <c r="C27" s="11" t="s">
        <v>421</v>
      </c>
      <c r="D27" s="11" t="s">
        <v>91</v>
      </c>
      <c r="E27" s="11">
        <v>5</v>
      </c>
      <c r="F27" s="11">
        <v>109840</v>
      </c>
    </row>
    <row r="28" spans="1:6" x14ac:dyDescent="0.3">
      <c r="A28" s="17">
        <v>45724</v>
      </c>
      <c r="B28" s="11" t="s">
        <v>412</v>
      </c>
      <c r="C28" s="11" t="s">
        <v>421</v>
      </c>
      <c r="D28" s="11" t="s">
        <v>31</v>
      </c>
      <c r="E28" s="11">
        <v>1</v>
      </c>
      <c r="F28" s="11">
        <v>22005</v>
      </c>
    </row>
    <row r="29" spans="1:6" x14ac:dyDescent="0.3">
      <c r="A29" s="17">
        <v>45727</v>
      </c>
      <c r="B29" s="11" t="s">
        <v>414</v>
      </c>
      <c r="C29" s="11" t="s">
        <v>420</v>
      </c>
      <c r="D29" s="11" t="s">
        <v>97</v>
      </c>
      <c r="E29" s="11">
        <v>2</v>
      </c>
      <c r="F29" s="11">
        <v>25730</v>
      </c>
    </row>
    <row r="30" spans="1:6" x14ac:dyDescent="0.3">
      <c r="A30" s="17">
        <v>45730</v>
      </c>
      <c r="B30" s="11" t="s">
        <v>414</v>
      </c>
      <c r="C30" s="11" t="s">
        <v>417</v>
      </c>
      <c r="D30" s="11" t="s">
        <v>85</v>
      </c>
      <c r="E30" s="11">
        <v>4</v>
      </c>
      <c r="F30" s="11">
        <v>11145</v>
      </c>
    </row>
    <row r="31" spans="1:6" x14ac:dyDescent="0.3">
      <c r="A31" s="17">
        <v>45733</v>
      </c>
      <c r="B31" s="11" t="s">
        <v>414</v>
      </c>
      <c r="C31" s="11" t="s">
        <v>419</v>
      </c>
      <c r="D31" s="11" t="s">
        <v>56</v>
      </c>
      <c r="E31" s="11">
        <v>3</v>
      </c>
      <c r="F31" s="11">
        <v>10045</v>
      </c>
    </row>
    <row r="32" spans="1:6" x14ac:dyDescent="0.3">
      <c r="A32" s="17">
        <v>45736</v>
      </c>
      <c r="B32" s="11" t="s">
        <v>416</v>
      </c>
      <c r="C32" s="11" t="s">
        <v>419</v>
      </c>
      <c r="D32" s="11" t="s">
        <v>56</v>
      </c>
      <c r="E32" s="11">
        <v>3</v>
      </c>
      <c r="F32" s="11">
        <v>14243</v>
      </c>
    </row>
    <row r="33" spans="1:6" x14ac:dyDescent="0.3">
      <c r="A33" s="17">
        <v>45739</v>
      </c>
      <c r="B33" s="11" t="s">
        <v>414</v>
      </c>
      <c r="C33" s="11" t="s">
        <v>415</v>
      </c>
      <c r="D33" s="11" t="s">
        <v>81</v>
      </c>
      <c r="E33" s="11">
        <v>4</v>
      </c>
      <c r="F33" s="11">
        <v>218994</v>
      </c>
    </row>
    <row r="34" spans="1:6" x14ac:dyDescent="0.3">
      <c r="A34" s="17">
        <v>45742</v>
      </c>
      <c r="B34" s="11" t="s">
        <v>414</v>
      </c>
      <c r="C34" s="11" t="s">
        <v>421</v>
      </c>
      <c r="D34" s="11" t="s">
        <v>75</v>
      </c>
      <c r="E34" s="11">
        <v>11</v>
      </c>
      <c r="F34" s="11">
        <v>244351</v>
      </c>
    </row>
    <row r="35" spans="1:6" x14ac:dyDescent="0.3">
      <c r="A35" s="17">
        <v>45745</v>
      </c>
      <c r="B35" s="11" t="s">
        <v>418</v>
      </c>
      <c r="C35" s="11" t="s">
        <v>419</v>
      </c>
      <c r="D35" s="11" t="s">
        <v>87</v>
      </c>
      <c r="E35" s="11">
        <v>12</v>
      </c>
      <c r="F35" s="11">
        <v>50135</v>
      </c>
    </row>
    <row r="36" spans="1:6" x14ac:dyDescent="0.3">
      <c r="A36" s="17">
        <v>45748</v>
      </c>
      <c r="B36" s="11" t="s">
        <v>414</v>
      </c>
      <c r="C36" s="11" t="s">
        <v>420</v>
      </c>
      <c r="D36" s="11" t="s">
        <v>75</v>
      </c>
      <c r="E36" s="11">
        <v>3</v>
      </c>
      <c r="F36" s="11">
        <v>37888</v>
      </c>
    </row>
    <row r="37" spans="1:6" x14ac:dyDescent="0.3">
      <c r="A37" s="17">
        <v>45751</v>
      </c>
      <c r="B37" s="11" t="s">
        <v>414</v>
      </c>
      <c r="C37" s="11" t="s">
        <v>413</v>
      </c>
      <c r="D37" s="11" t="s">
        <v>97</v>
      </c>
      <c r="E37" s="11">
        <v>4</v>
      </c>
      <c r="F37" s="11">
        <v>120271</v>
      </c>
    </row>
    <row r="38" spans="1:6" x14ac:dyDescent="0.3">
      <c r="A38" s="17">
        <v>45754</v>
      </c>
      <c r="B38" s="11" t="s">
        <v>414</v>
      </c>
      <c r="C38" s="11" t="s">
        <v>417</v>
      </c>
      <c r="D38" s="11" t="s">
        <v>56</v>
      </c>
      <c r="E38" s="11">
        <v>5</v>
      </c>
      <c r="F38" s="11">
        <v>14103</v>
      </c>
    </row>
    <row r="39" spans="1:6" x14ac:dyDescent="0.3">
      <c r="A39" s="17">
        <v>45757</v>
      </c>
      <c r="B39" s="11" t="s">
        <v>416</v>
      </c>
      <c r="C39" s="11" t="s">
        <v>417</v>
      </c>
      <c r="D39" s="11" t="s">
        <v>61</v>
      </c>
      <c r="E39" s="11">
        <v>4</v>
      </c>
      <c r="F39" s="11">
        <v>10225</v>
      </c>
    </row>
    <row r="40" spans="1:6" x14ac:dyDescent="0.3">
      <c r="A40" s="17">
        <v>45760</v>
      </c>
      <c r="B40" s="11" t="s">
        <v>418</v>
      </c>
      <c r="C40" s="11" t="s">
        <v>413</v>
      </c>
      <c r="D40" s="11" t="s">
        <v>81</v>
      </c>
      <c r="E40" s="11">
        <v>2</v>
      </c>
      <c r="F40" s="11">
        <v>59133</v>
      </c>
    </row>
    <row r="41" spans="1:6" x14ac:dyDescent="0.3">
      <c r="A41" s="17">
        <v>45763</v>
      </c>
      <c r="B41" s="11" t="s">
        <v>412</v>
      </c>
      <c r="C41" s="11" t="s">
        <v>421</v>
      </c>
      <c r="D41" s="11" t="s">
        <v>70</v>
      </c>
      <c r="E41" s="11">
        <v>12</v>
      </c>
      <c r="F41" s="11">
        <v>263251</v>
      </c>
    </row>
    <row r="42" spans="1:6" x14ac:dyDescent="0.3">
      <c r="A42" s="17">
        <v>45766</v>
      </c>
      <c r="B42" s="11" t="s">
        <v>412</v>
      </c>
      <c r="C42" s="11" t="s">
        <v>415</v>
      </c>
      <c r="D42" s="11" t="s">
        <v>72</v>
      </c>
      <c r="E42" s="11">
        <v>7</v>
      </c>
      <c r="F42" s="11">
        <v>385710</v>
      </c>
    </row>
    <row r="43" spans="1:6" x14ac:dyDescent="0.3">
      <c r="A43" s="17">
        <v>45769</v>
      </c>
      <c r="B43" s="11" t="s">
        <v>414</v>
      </c>
      <c r="C43" s="11" t="s">
        <v>419</v>
      </c>
      <c r="D43" s="11" t="s">
        <v>36</v>
      </c>
      <c r="E43" s="11">
        <v>4</v>
      </c>
      <c r="F43" s="11">
        <v>17441</v>
      </c>
    </row>
    <row r="44" spans="1:6" x14ac:dyDescent="0.3">
      <c r="A44" s="17">
        <v>45772</v>
      </c>
      <c r="B44" s="11" t="s">
        <v>414</v>
      </c>
      <c r="C44" s="11" t="s">
        <v>420</v>
      </c>
      <c r="D44" s="11" t="s">
        <v>93</v>
      </c>
      <c r="E44" s="11">
        <v>1</v>
      </c>
      <c r="F44" s="11">
        <v>14716</v>
      </c>
    </row>
    <row r="45" spans="1:6" x14ac:dyDescent="0.3">
      <c r="A45" s="17">
        <v>45775</v>
      </c>
      <c r="B45" s="11" t="s">
        <v>414</v>
      </c>
      <c r="C45" s="11" t="s">
        <v>419</v>
      </c>
      <c r="D45" s="11" t="s">
        <v>31</v>
      </c>
      <c r="E45" s="11">
        <v>6</v>
      </c>
      <c r="F45" s="11">
        <v>24446</v>
      </c>
    </row>
    <row r="46" spans="1:6" x14ac:dyDescent="0.3">
      <c r="A46" s="17">
        <v>45778</v>
      </c>
      <c r="B46" s="11" t="s">
        <v>414</v>
      </c>
      <c r="C46" s="11" t="s">
        <v>419</v>
      </c>
      <c r="D46" s="11" t="s">
        <v>81</v>
      </c>
      <c r="E46" s="11">
        <v>12</v>
      </c>
      <c r="F46" s="11">
        <v>50473</v>
      </c>
    </row>
    <row r="47" spans="1:6" x14ac:dyDescent="0.3">
      <c r="A47" s="17">
        <v>45781</v>
      </c>
      <c r="B47" s="11" t="s">
        <v>412</v>
      </c>
      <c r="C47" s="11" t="s">
        <v>419</v>
      </c>
      <c r="D47" s="11" t="s">
        <v>56</v>
      </c>
      <c r="E47" s="11">
        <v>5</v>
      </c>
      <c r="F47" s="11">
        <v>21570</v>
      </c>
    </row>
    <row r="48" spans="1:6" x14ac:dyDescent="0.3">
      <c r="A48" s="17">
        <v>45784</v>
      </c>
      <c r="B48" s="11" t="s">
        <v>414</v>
      </c>
      <c r="C48" s="11" t="s">
        <v>415</v>
      </c>
      <c r="D48" s="11" t="s">
        <v>70</v>
      </c>
      <c r="E48" s="11">
        <v>6</v>
      </c>
      <c r="F48" s="11">
        <v>331312</v>
      </c>
    </row>
    <row r="49" spans="1:6" x14ac:dyDescent="0.3">
      <c r="A49" s="17">
        <v>45787</v>
      </c>
      <c r="B49" s="11" t="s">
        <v>412</v>
      </c>
      <c r="C49" s="11" t="s">
        <v>419</v>
      </c>
      <c r="D49" s="11" t="s">
        <v>47</v>
      </c>
      <c r="E49" s="11">
        <v>10</v>
      </c>
      <c r="F49" s="11">
        <v>42375</v>
      </c>
    </row>
    <row r="50" spans="1:6" x14ac:dyDescent="0.3">
      <c r="A50" s="17">
        <v>45790</v>
      </c>
      <c r="B50" s="11" t="s">
        <v>416</v>
      </c>
      <c r="C50" s="11" t="s">
        <v>419</v>
      </c>
      <c r="D50" s="11" t="s">
        <v>85</v>
      </c>
      <c r="E50" s="11">
        <v>10</v>
      </c>
      <c r="F50" s="11">
        <v>38222</v>
      </c>
    </row>
    <row r="51" spans="1:6" x14ac:dyDescent="0.3">
      <c r="A51" s="17">
        <v>45793</v>
      </c>
      <c r="B51" s="11" t="s">
        <v>416</v>
      </c>
      <c r="C51" s="11" t="s">
        <v>417</v>
      </c>
      <c r="D51" s="11" t="s">
        <v>72</v>
      </c>
      <c r="E51" s="11">
        <v>3</v>
      </c>
      <c r="F51" s="11">
        <v>9282</v>
      </c>
    </row>
    <row r="52" spans="1:6" x14ac:dyDescent="0.3">
      <c r="A52" s="17">
        <v>45796</v>
      </c>
      <c r="B52" s="11" t="s">
        <v>412</v>
      </c>
      <c r="C52" s="11" t="s">
        <v>415</v>
      </c>
      <c r="D52" s="11" t="s">
        <v>58</v>
      </c>
      <c r="E52" s="11">
        <v>7</v>
      </c>
      <c r="F52" s="11">
        <v>385681</v>
      </c>
    </row>
    <row r="53" spans="1:6" x14ac:dyDescent="0.3">
      <c r="A53" s="17">
        <v>45799</v>
      </c>
      <c r="B53" s="11" t="s">
        <v>412</v>
      </c>
      <c r="C53" s="11" t="s">
        <v>419</v>
      </c>
      <c r="D53" s="11" t="s">
        <v>64</v>
      </c>
      <c r="E53" s="11">
        <v>6</v>
      </c>
      <c r="F53" s="11">
        <v>25105</v>
      </c>
    </row>
    <row r="54" spans="1:6" x14ac:dyDescent="0.3">
      <c r="A54" s="17">
        <v>45802</v>
      </c>
      <c r="B54" s="11" t="s">
        <v>418</v>
      </c>
      <c r="C54" s="11" t="s">
        <v>419</v>
      </c>
      <c r="D54" s="11" t="s">
        <v>58</v>
      </c>
      <c r="E54" s="11">
        <v>2</v>
      </c>
      <c r="F54" s="11">
        <v>9852</v>
      </c>
    </row>
    <row r="55" spans="1:6" x14ac:dyDescent="0.3">
      <c r="A55" s="17">
        <v>45805</v>
      </c>
      <c r="B55" s="11" t="s">
        <v>416</v>
      </c>
      <c r="C55" s="11" t="s">
        <v>417</v>
      </c>
      <c r="D55" s="11" t="s">
        <v>81</v>
      </c>
      <c r="E55" s="11">
        <v>1</v>
      </c>
      <c r="F55" s="11">
        <v>3366</v>
      </c>
    </row>
    <row r="56" spans="1:6" x14ac:dyDescent="0.3">
      <c r="A56" s="17">
        <v>45808</v>
      </c>
      <c r="B56" s="11" t="s">
        <v>412</v>
      </c>
      <c r="C56" s="11" t="s">
        <v>417</v>
      </c>
      <c r="D56" s="11" t="s">
        <v>41</v>
      </c>
      <c r="E56" s="11">
        <v>11</v>
      </c>
      <c r="F56" s="11">
        <v>25829</v>
      </c>
    </row>
    <row r="57" spans="1:6" x14ac:dyDescent="0.3">
      <c r="A57" s="17">
        <v>45811</v>
      </c>
      <c r="B57" s="11" t="s">
        <v>416</v>
      </c>
      <c r="C57" s="11" t="s">
        <v>421</v>
      </c>
      <c r="D57" s="11" t="s">
        <v>54</v>
      </c>
      <c r="E57" s="11">
        <v>1</v>
      </c>
      <c r="F57" s="11">
        <v>21248</v>
      </c>
    </row>
    <row r="58" spans="1:6" x14ac:dyDescent="0.3">
      <c r="A58" s="17">
        <v>45814</v>
      </c>
      <c r="B58" s="11" t="s">
        <v>412</v>
      </c>
      <c r="C58" s="11" t="s">
        <v>421</v>
      </c>
      <c r="D58" s="11" t="s">
        <v>77</v>
      </c>
      <c r="E58" s="11">
        <v>11</v>
      </c>
      <c r="F58" s="11">
        <v>240937</v>
      </c>
    </row>
    <row r="59" spans="1:6" x14ac:dyDescent="0.3">
      <c r="A59" s="17">
        <v>45817</v>
      </c>
      <c r="B59" s="11" t="s">
        <v>412</v>
      </c>
      <c r="C59" s="11" t="s">
        <v>419</v>
      </c>
      <c r="D59" s="11" t="s">
        <v>93</v>
      </c>
      <c r="E59" s="11">
        <v>5</v>
      </c>
      <c r="F59" s="11">
        <v>21021</v>
      </c>
    </row>
    <row r="60" spans="1:6" x14ac:dyDescent="0.3">
      <c r="A60" s="17">
        <v>45820</v>
      </c>
      <c r="B60" s="11" t="s">
        <v>412</v>
      </c>
      <c r="C60" s="11" t="s">
        <v>420</v>
      </c>
      <c r="D60" s="11" t="s">
        <v>87</v>
      </c>
      <c r="E60" s="11">
        <v>12</v>
      </c>
      <c r="F60" s="11">
        <v>142938</v>
      </c>
    </row>
    <row r="61" spans="1:6" x14ac:dyDescent="0.3">
      <c r="A61" s="17">
        <v>45823</v>
      </c>
      <c r="B61" s="11" t="s">
        <v>412</v>
      </c>
      <c r="C61" s="11" t="s">
        <v>413</v>
      </c>
      <c r="D61" s="11" t="s">
        <v>43</v>
      </c>
      <c r="E61" s="11">
        <v>10</v>
      </c>
      <c r="F61" s="11">
        <v>298210</v>
      </c>
    </row>
    <row r="62" spans="1:6" x14ac:dyDescent="0.3">
      <c r="A62" s="17">
        <v>45826</v>
      </c>
      <c r="B62" s="11" t="s">
        <v>418</v>
      </c>
      <c r="C62" s="11" t="s">
        <v>420</v>
      </c>
      <c r="D62" s="11" t="s">
        <v>91</v>
      </c>
      <c r="E62" s="11">
        <v>7</v>
      </c>
      <c r="F62" s="11">
        <v>85249</v>
      </c>
    </row>
    <row r="63" spans="1:6" x14ac:dyDescent="0.3">
      <c r="A63" s="17">
        <v>45829</v>
      </c>
      <c r="B63" s="11" t="s">
        <v>412</v>
      </c>
      <c r="C63" s="11" t="s">
        <v>415</v>
      </c>
      <c r="D63" s="11" t="s">
        <v>85</v>
      </c>
      <c r="E63" s="11">
        <v>12</v>
      </c>
      <c r="F63" s="11">
        <v>659989</v>
      </c>
    </row>
    <row r="64" spans="1:6" x14ac:dyDescent="0.3">
      <c r="A64" s="17">
        <v>45832</v>
      </c>
      <c r="B64" s="11" t="s">
        <v>416</v>
      </c>
      <c r="C64" s="11" t="s">
        <v>417</v>
      </c>
      <c r="D64" s="11" t="s">
        <v>97</v>
      </c>
      <c r="E64" s="11">
        <v>5</v>
      </c>
      <c r="F64" s="11">
        <v>15418</v>
      </c>
    </row>
    <row r="65" spans="1:6" x14ac:dyDescent="0.3">
      <c r="A65" s="17">
        <v>45835</v>
      </c>
      <c r="B65" s="11" t="s">
        <v>416</v>
      </c>
      <c r="C65" s="11" t="s">
        <v>420</v>
      </c>
      <c r="D65" s="11" t="s">
        <v>36</v>
      </c>
      <c r="E65" s="11">
        <v>6</v>
      </c>
      <c r="F65" s="11">
        <v>74364</v>
      </c>
    </row>
    <row r="66" spans="1:6" x14ac:dyDescent="0.3">
      <c r="A66" s="17">
        <v>45838</v>
      </c>
      <c r="B66" s="11" t="s">
        <v>414</v>
      </c>
      <c r="C66" s="11" t="s">
        <v>417</v>
      </c>
      <c r="D66" s="11" t="s">
        <v>66</v>
      </c>
      <c r="E66" s="11">
        <v>2</v>
      </c>
      <c r="F66" s="11">
        <v>7144</v>
      </c>
    </row>
    <row r="67" spans="1:6" x14ac:dyDescent="0.3">
      <c r="A67" s="17">
        <v>45841</v>
      </c>
      <c r="B67" s="11" t="s">
        <v>418</v>
      </c>
      <c r="C67" s="11" t="s">
        <v>415</v>
      </c>
      <c r="D67" s="11" t="s">
        <v>72</v>
      </c>
      <c r="E67" s="11">
        <v>8</v>
      </c>
      <c r="F67" s="11">
        <v>438864</v>
      </c>
    </row>
    <row r="68" spans="1:6" x14ac:dyDescent="0.3">
      <c r="A68" s="17">
        <v>45844</v>
      </c>
      <c r="B68" s="11" t="s">
        <v>414</v>
      </c>
      <c r="C68" s="11" t="s">
        <v>413</v>
      </c>
      <c r="D68" s="11" t="s">
        <v>89</v>
      </c>
      <c r="E68" s="11">
        <v>8</v>
      </c>
      <c r="F68" s="11">
        <v>239253</v>
      </c>
    </row>
    <row r="69" spans="1:6" x14ac:dyDescent="0.3">
      <c r="A69" s="17">
        <v>45847</v>
      </c>
      <c r="B69" s="11" t="s">
        <v>414</v>
      </c>
      <c r="C69" s="11" t="s">
        <v>421</v>
      </c>
      <c r="D69" s="11" t="s">
        <v>95</v>
      </c>
      <c r="E69" s="11">
        <v>9</v>
      </c>
      <c r="F69" s="11">
        <v>198212</v>
      </c>
    </row>
    <row r="70" spans="1:6" x14ac:dyDescent="0.3">
      <c r="A70" s="17">
        <v>45850</v>
      </c>
      <c r="B70" s="11" t="s">
        <v>414</v>
      </c>
      <c r="C70" s="11" t="s">
        <v>419</v>
      </c>
      <c r="D70" s="11" t="s">
        <v>72</v>
      </c>
      <c r="E70" s="11">
        <v>12</v>
      </c>
      <c r="F70" s="11">
        <v>50853</v>
      </c>
    </row>
    <row r="71" spans="1:6" x14ac:dyDescent="0.3">
      <c r="A71" s="17">
        <v>45853</v>
      </c>
      <c r="B71" s="11" t="s">
        <v>418</v>
      </c>
      <c r="C71" s="11" t="s">
        <v>413</v>
      </c>
      <c r="D71" s="11" t="s">
        <v>56</v>
      </c>
      <c r="E71" s="11">
        <v>2</v>
      </c>
      <c r="F71" s="11">
        <v>60284</v>
      </c>
    </row>
    <row r="72" spans="1:6" x14ac:dyDescent="0.3">
      <c r="A72" s="17">
        <v>45856</v>
      </c>
      <c r="B72" s="11" t="s">
        <v>414</v>
      </c>
      <c r="C72" s="11" t="s">
        <v>421</v>
      </c>
      <c r="D72" s="11" t="s">
        <v>97</v>
      </c>
      <c r="E72" s="11">
        <v>8</v>
      </c>
      <c r="F72" s="11">
        <v>178668</v>
      </c>
    </row>
    <row r="73" spans="1:6" x14ac:dyDescent="0.3">
      <c r="A73" s="17">
        <v>45859</v>
      </c>
      <c r="B73" s="11" t="s">
        <v>414</v>
      </c>
      <c r="C73" s="11" t="s">
        <v>413</v>
      </c>
      <c r="D73" s="11" t="s">
        <v>31</v>
      </c>
      <c r="E73" s="11">
        <v>8</v>
      </c>
      <c r="F73" s="11">
        <v>240662</v>
      </c>
    </row>
    <row r="74" spans="1:6" x14ac:dyDescent="0.3">
      <c r="A74" s="17">
        <v>45862</v>
      </c>
      <c r="B74" s="11" t="s">
        <v>412</v>
      </c>
      <c r="C74" s="11" t="s">
        <v>419</v>
      </c>
      <c r="D74" s="11" t="s">
        <v>54</v>
      </c>
      <c r="E74" s="11">
        <v>6</v>
      </c>
      <c r="F74" s="11">
        <v>24116</v>
      </c>
    </row>
    <row r="75" spans="1:6" x14ac:dyDescent="0.3">
      <c r="A75" s="17">
        <v>45865</v>
      </c>
      <c r="B75" s="11" t="s">
        <v>418</v>
      </c>
      <c r="C75" s="11" t="s">
        <v>413</v>
      </c>
      <c r="D75" s="11" t="s">
        <v>87</v>
      </c>
      <c r="E75" s="11">
        <v>12</v>
      </c>
      <c r="F75" s="11">
        <v>360263</v>
      </c>
    </row>
    <row r="76" spans="1:6" x14ac:dyDescent="0.3">
      <c r="A76" s="17">
        <v>45868</v>
      </c>
      <c r="B76" s="11" t="s">
        <v>416</v>
      </c>
      <c r="C76" s="11" t="s">
        <v>420</v>
      </c>
      <c r="D76" s="11" t="s">
        <v>54</v>
      </c>
      <c r="E76" s="11">
        <v>2</v>
      </c>
      <c r="F76" s="11">
        <v>23977</v>
      </c>
    </row>
    <row r="77" spans="1:6" x14ac:dyDescent="0.3">
      <c r="A77" s="17">
        <v>45871</v>
      </c>
      <c r="B77" s="11" t="s">
        <v>414</v>
      </c>
      <c r="C77" s="11" t="s">
        <v>419</v>
      </c>
      <c r="D77" s="11" t="s">
        <v>81</v>
      </c>
      <c r="E77" s="11">
        <v>4</v>
      </c>
      <c r="F77" s="11">
        <v>17900</v>
      </c>
    </row>
    <row r="78" spans="1:6" x14ac:dyDescent="0.3">
      <c r="A78" s="17">
        <v>45874</v>
      </c>
      <c r="B78" s="11" t="s">
        <v>414</v>
      </c>
      <c r="C78" s="11" t="s">
        <v>419</v>
      </c>
      <c r="D78" s="11" t="s">
        <v>31</v>
      </c>
      <c r="E78" s="11">
        <v>2</v>
      </c>
      <c r="F78" s="11">
        <v>8410</v>
      </c>
    </row>
    <row r="79" spans="1:6" x14ac:dyDescent="0.3">
      <c r="A79" s="17">
        <v>45877</v>
      </c>
      <c r="B79" s="11" t="s">
        <v>412</v>
      </c>
      <c r="C79" s="11" t="s">
        <v>419</v>
      </c>
      <c r="D79" s="11" t="s">
        <v>93</v>
      </c>
      <c r="E79" s="11">
        <v>4</v>
      </c>
      <c r="F79" s="11">
        <v>16508</v>
      </c>
    </row>
    <row r="80" spans="1:6" x14ac:dyDescent="0.3">
      <c r="A80" s="17">
        <v>45880</v>
      </c>
      <c r="B80" s="11" t="s">
        <v>418</v>
      </c>
      <c r="C80" s="11" t="s">
        <v>419</v>
      </c>
      <c r="D80" s="11" t="s">
        <v>81</v>
      </c>
      <c r="E80" s="11">
        <v>9</v>
      </c>
      <c r="F80" s="11">
        <v>36816</v>
      </c>
    </row>
    <row r="81" spans="1:6" x14ac:dyDescent="0.3">
      <c r="A81" s="17">
        <v>45883</v>
      </c>
      <c r="B81" s="11" t="s">
        <v>414</v>
      </c>
      <c r="C81" s="11" t="s">
        <v>417</v>
      </c>
      <c r="D81" s="11" t="s">
        <v>81</v>
      </c>
      <c r="E81" s="11">
        <v>6</v>
      </c>
      <c r="F81" s="11">
        <v>15882</v>
      </c>
    </row>
    <row r="82" spans="1:6" x14ac:dyDescent="0.3">
      <c r="A82" s="17">
        <v>45886</v>
      </c>
      <c r="B82" s="11" t="s">
        <v>414</v>
      </c>
      <c r="C82" s="11" t="s">
        <v>413</v>
      </c>
      <c r="D82" s="11" t="s">
        <v>61</v>
      </c>
      <c r="E82" s="11">
        <v>5</v>
      </c>
      <c r="F82" s="11">
        <v>149888</v>
      </c>
    </row>
    <row r="83" spans="1:6" x14ac:dyDescent="0.3">
      <c r="A83" s="17">
        <v>45889</v>
      </c>
      <c r="B83" s="11" t="s">
        <v>416</v>
      </c>
      <c r="C83" s="11" t="s">
        <v>417</v>
      </c>
      <c r="D83" s="11" t="s">
        <v>54</v>
      </c>
      <c r="E83" s="11">
        <v>6</v>
      </c>
      <c r="F83" s="11">
        <v>13979</v>
      </c>
    </row>
    <row r="84" spans="1:6" x14ac:dyDescent="0.3">
      <c r="A84" s="17">
        <v>45892</v>
      </c>
      <c r="B84" s="11" t="s">
        <v>412</v>
      </c>
      <c r="C84" s="11" t="s">
        <v>421</v>
      </c>
      <c r="D84" s="11" t="s">
        <v>54</v>
      </c>
      <c r="E84" s="11">
        <v>12</v>
      </c>
      <c r="F84" s="11">
        <v>265966</v>
      </c>
    </row>
    <row r="85" spans="1:6" x14ac:dyDescent="0.3">
      <c r="A85" s="17">
        <v>45895</v>
      </c>
      <c r="B85" s="11" t="s">
        <v>418</v>
      </c>
      <c r="C85" s="11" t="s">
        <v>417</v>
      </c>
      <c r="D85" s="11" t="s">
        <v>85</v>
      </c>
      <c r="E85" s="11">
        <v>9</v>
      </c>
      <c r="F85" s="11">
        <v>25388</v>
      </c>
    </row>
    <row r="86" spans="1:6" x14ac:dyDescent="0.3">
      <c r="A86" s="17">
        <v>45898</v>
      </c>
      <c r="B86" s="11" t="s">
        <v>418</v>
      </c>
      <c r="C86" s="11" t="s">
        <v>415</v>
      </c>
      <c r="D86" s="11" t="s">
        <v>54</v>
      </c>
      <c r="E86" s="11">
        <v>5</v>
      </c>
      <c r="F86" s="11">
        <v>274863</v>
      </c>
    </row>
    <row r="87" spans="1:6" x14ac:dyDescent="0.3">
      <c r="A87" s="17">
        <v>45901</v>
      </c>
      <c r="B87" s="11" t="s">
        <v>418</v>
      </c>
      <c r="C87" s="11" t="s">
        <v>421</v>
      </c>
      <c r="D87" s="11" t="s">
        <v>61</v>
      </c>
      <c r="E87" s="11">
        <v>1</v>
      </c>
      <c r="F87" s="11">
        <v>24375</v>
      </c>
    </row>
    <row r="88" spans="1:6" x14ac:dyDescent="0.3">
      <c r="A88" s="17">
        <v>45904</v>
      </c>
      <c r="B88" s="11" t="s">
        <v>412</v>
      </c>
      <c r="C88" s="11" t="s">
        <v>413</v>
      </c>
      <c r="D88" s="11" t="s">
        <v>36</v>
      </c>
      <c r="E88" s="11">
        <v>1</v>
      </c>
      <c r="F88" s="11">
        <v>32533</v>
      </c>
    </row>
    <row r="89" spans="1:6" x14ac:dyDescent="0.3">
      <c r="A89" s="17">
        <v>45907</v>
      </c>
      <c r="B89" s="11" t="s">
        <v>418</v>
      </c>
      <c r="C89" s="11" t="s">
        <v>417</v>
      </c>
      <c r="D89" s="11" t="s">
        <v>47</v>
      </c>
      <c r="E89" s="11">
        <v>11</v>
      </c>
      <c r="F89" s="11">
        <v>29521</v>
      </c>
    </row>
    <row r="90" spans="1:6" x14ac:dyDescent="0.3">
      <c r="A90" s="17">
        <v>45910</v>
      </c>
      <c r="B90" s="11" t="s">
        <v>416</v>
      </c>
      <c r="C90" s="11" t="s">
        <v>415</v>
      </c>
      <c r="D90" s="11" t="s">
        <v>85</v>
      </c>
      <c r="E90" s="11">
        <v>5</v>
      </c>
      <c r="F90" s="11">
        <v>276845</v>
      </c>
    </row>
    <row r="91" spans="1:6" x14ac:dyDescent="0.3">
      <c r="A91" s="17">
        <v>45913</v>
      </c>
      <c r="B91" s="11" t="s">
        <v>414</v>
      </c>
      <c r="C91" s="11" t="s">
        <v>419</v>
      </c>
      <c r="D91" s="11" t="s">
        <v>64</v>
      </c>
      <c r="E91" s="11">
        <v>3</v>
      </c>
      <c r="F91" s="11">
        <v>10420</v>
      </c>
    </row>
    <row r="92" spans="1:6" x14ac:dyDescent="0.3">
      <c r="A92" s="17">
        <v>45916</v>
      </c>
      <c r="B92" s="11" t="s">
        <v>418</v>
      </c>
      <c r="C92" s="11" t="s">
        <v>419</v>
      </c>
      <c r="D92" s="11" t="s">
        <v>43</v>
      </c>
      <c r="E92" s="11">
        <v>2</v>
      </c>
      <c r="F92" s="11">
        <v>9282</v>
      </c>
    </row>
    <row r="93" spans="1:6" x14ac:dyDescent="0.3">
      <c r="A93" s="17">
        <v>45919</v>
      </c>
      <c r="B93" s="11" t="s">
        <v>414</v>
      </c>
      <c r="C93" s="11" t="s">
        <v>415</v>
      </c>
      <c r="D93" s="11" t="s">
        <v>85</v>
      </c>
      <c r="E93" s="11">
        <v>11</v>
      </c>
      <c r="F93" s="11">
        <v>603439</v>
      </c>
    </row>
    <row r="94" spans="1:6" x14ac:dyDescent="0.3">
      <c r="A94" s="17">
        <v>45922</v>
      </c>
      <c r="B94" s="11" t="s">
        <v>412</v>
      </c>
      <c r="C94" s="11" t="s">
        <v>421</v>
      </c>
      <c r="D94" s="11" t="s">
        <v>85</v>
      </c>
      <c r="E94" s="11">
        <v>5</v>
      </c>
      <c r="F94" s="11">
        <v>108697</v>
      </c>
    </row>
    <row r="95" spans="1:6" x14ac:dyDescent="0.3">
      <c r="A95" s="17">
        <v>45925</v>
      </c>
      <c r="B95" s="11" t="s">
        <v>412</v>
      </c>
      <c r="C95" s="11" t="s">
        <v>415</v>
      </c>
      <c r="D95" s="11" t="s">
        <v>81</v>
      </c>
      <c r="E95" s="11">
        <v>7</v>
      </c>
      <c r="F95" s="11">
        <v>387966</v>
      </c>
    </row>
    <row r="96" spans="1:6" x14ac:dyDescent="0.3">
      <c r="A96" s="17">
        <v>45928</v>
      </c>
      <c r="B96" s="11" t="s">
        <v>412</v>
      </c>
      <c r="C96" s="11" t="s">
        <v>420</v>
      </c>
      <c r="D96" s="11" t="s">
        <v>70</v>
      </c>
      <c r="E96" s="11">
        <v>8</v>
      </c>
      <c r="F96" s="11">
        <v>97626</v>
      </c>
    </row>
    <row r="97" spans="1:6" x14ac:dyDescent="0.3">
      <c r="A97" s="17">
        <v>45931</v>
      </c>
      <c r="B97" s="11" t="s">
        <v>418</v>
      </c>
      <c r="C97" s="11" t="s">
        <v>420</v>
      </c>
      <c r="D97" s="11" t="s">
        <v>72</v>
      </c>
      <c r="E97" s="11">
        <v>5</v>
      </c>
      <c r="F97" s="11">
        <v>62658</v>
      </c>
    </row>
    <row r="98" spans="1:6" x14ac:dyDescent="0.3">
      <c r="A98" s="17">
        <v>45934</v>
      </c>
      <c r="B98" s="11" t="s">
        <v>416</v>
      </c>
      <c r="C98" s="11" t="s">
        <v>420</v>
      </c>
      <c r="D98" s="11" t="s">
        <v>95</v>
      </c>
      <c r="E98" s="11">
        <v>2</v>
      </c>
      <c r="F98" s="11">
        <v>23702</v>
      </c>
    </row>
    <row r="99" spans="1:6" x14ac:dyDescent="0.3">
      <c r="A99" s="17">
        <v>45937</v>
      </c>
      <c r="B99" s="11" t="s">
        <v>412</v>
      </c>
      <c r="C99" s="11" t="s">
        <v>413</v>
      </c>
      <c r="D99" s="11" t="s">
        <v>91</v>
      </c>
      <c r="E99" s="11">
        <v>2</v>
      </c>
      <c r="F99" s="11">
        <v>59286</v>
      </c>
    </row>
    <row r="100" spans="1:6" x14ac:dyDescent="0.3">
      <c r="A100" s="17">
        <v>45940</v>
      </c>
      <c r="B100" s="11" t="s">
        <v>412</v>
      </c>
      <c r="C100" s="11" t="s">
        <v>421</v>
      </c>
      <c r="D100" s="11" t="s">
        <v>81</v>
      </c>
      <c r="E100" s="11">
        <v>2</v>
      </c>
      <c r="F100" s="11">
        <v>43282</v>
      </c>
    </row>
    <row r="101" spans="1:6" x14ac:dyDescent="0.3">
      <c r="A101" s="17">
        <v>45943</v>
      </c>
      <c r="B101" s="11" t="s">
        <v>416</v>
      </c>
      <c r="C101" s="11" t="s">
        <v>419</v>
      </c>
      <c r="D101" s="11" t="s">
        <v>75</v>
      </c>
      <c r="E101" s="11">
        <v>12</v>
      </c>
      <c r="F101" s="11">
        <v>50864</v>
      </c>
    </row>
    <row r="102" spans="1:6" x14ac:dyDescent="0.3">
      <c r="A102" s="17">
        <v>45946</v>
      </c>
      <c r="B102" s="11" t="s">
        <v>414</v>
      </c>
      <c r="C102" s="11" t="s">
        <v>413</v>
      </c>
      <c r="D102" s="11" t="s">
        <v>36</v>
      </c>
      <c r="E102" s="11">
        <v>4</v>
      </c>
      <c r="F102" s="11">
        <v>120360</v>
      </c>
    </row>
    <row r="103" spans="1:6" x14ac:dyDescent="0.3">
      <c r="A103" s="17">
        <v>45949</v>
      </c>
      <c r="B103" s="11" t="s">
        <v>418</v>
      </c>
      <c r="C103" s="11" t="s">
        <v>417</v>
      </c>
      <c r="D103" s="11" t="s">
        <v>75</v>
      </c>
      <c r="E103" s="11">
        <v>2</v>
      </c>
      <c r="F103" s="11">
        <v>4912</v>
      </c>
    </row>
    <row r="104" spans="1:6" x14ac:dyDescent="0.3">
      <c r="A104" s="17">
        <v>45952</v>
      </c>
      <c r="B104" s="11" t="s">
        <v>418</v>
      </c>
      <c r="C104" s="11" t="s">
        <v>417</v>
      </c>
      <c r="D104" s="11" t="s">
        <v>85</v>
      </c>
      <c r="E104" s="11">
        <v>11</v>
      </c>
      <c r="F104" s="11">
        <v>27120</v>
      </c>
    </row>
    <row r="105" spans="1:6" x14ac:dyDescent="0.3">
      <c r="A105" s="17">
        <v>45955</v>
      </c>
      <c r="B105" s="11" t="s">
        <v>414</v>
      </c>
      <c r="C105" s="11" t="s">
        <v>415</v>
      </c>
      <c r="D105" s="11" t="s">
        <v>81</v>
      </c>
      <c r="E105" s="11">
        <v>4</v>
      </c>
      <c r="F105" s="11">
        <v>219220</v>
      </c>
    </row>
    <row r="108" spans="1:6" x14ac:dyDescent="0.3">
      <c r="A108" s="10" t="s">
        <v>148</v>
      </c>
      <c r="B108" s="10" t="s">
        <v>149</v>
      </c>
      <c r="C108" s="10" t="s">
        <v>150</v>
      </c>
      <c r="D108" s="10" t="s">
        <v>151</v>
      </c>
      <c r="E108" s="10" t="s">
        <v>152</v>
      </c>
      <c r="F108" s="10" t="s">
        <v>153</v>
      </c>
    </row>
    <row r="109" spans="1:6" ht="28.8" x14ac:dyDescent="0.3">
      <c r="A109" s="11">
        <v>1</v>
      </c>
      <c r="B109" s="11" t="s">
        <v>444</v>
      </c>
      <c r="C109" s="12" t="s">
        <v>3</v>
      </c>
      <c r="D109" s="11" t="s">
        <v>445</v>
      </c>
      <c r="E109" s="11">
        <f>F6</f>
        <v>358885</v>
      </c>
      <c r="F109" s="11" t="s">
        <v>446</v>
      </c>
    </row>
    <row r="110" spans="1:6" ht="28.8" x14ac:dyDescent="0.3">
      <c r="A110" s="11">
        <v>2</v>
      </c>
      <c r="B110" s="11" t="s">
        <v>447</v>
      </c>
      <c r="C110" s="12" t="s">
        <v>3</v>
      </c>
      <c r="D110" s="11" t="s">
        <v>448</v>
      </c>
      <c r="E110" s="11">
        <f>F7</f>
        <v>219634</v>
      </c>
      <c r="F110" s="11" t="s">
        <v>446</v>
      </c>
    </row>
    <row r="111" spans="1:6" ht="28.8" x14ac:dyDescent="0.3">
      <c r="A111" s="11">
        <v>3</v>
      </c>
      <c r="B111" s="11" t="s">
        <v>449</v>
      </c>
      <c r="C111" s="12" t="s">
        <v>3</v>
      </c>
      <c r="D111" s="11" t="s">
        <v>450</v>
      </c>
      <c r="E111" s="11">
        <f>F8</f>
        <v>119826</v>
      </c>
      <c r="F111" s="11" t="s">
        <v>446</v>
      </c>
    </row>
    <row r="112" spans="1:6" ht="28.8" x14ac:dyDescent="0.3">
      <c r="A112" s="11">
        <v>4</v>
      </c>
      <c r="B112" s="11" t="s">
        <v>451</v>
      </c>
      <c r="C112" s="13" t="s">
        <v>4</v>
      </c>
      <c r="D112" s="11" t="s">
        <v>452</v>
      </c>
      <c r="E112" s="11" t="str">
        <f>IF(AVERAGE($F$6:$F$105)&gt;0,"Column/Bar","Line")</f>
        <v>Column/Bar</v>
      </c>
      <c r="F112" s="11" t="s">
        <v>446</v>
      </c>
    </row>
    <row r="113" spans="1:7" ht="28.8" x14ac:dyDescent="0.3">
      <c r="A113" s="11">
        <v>5</v>
      </c>
      <c r="B113" s="11" t="s">
        <v>453</v>
      </c>
      <c r="C113" s="13" t="s">
        <v>4</v>
      </c>
      <c r="D113" s="11" t="s">
        <v>450</v>
      </c>
      <c r="E113" s="11" t="str">
        <f>IF(COUNTIF($A$6:$A$105,"&gt;0")&gt;0,"Line","Column")</f>
        <v>Line</v>
      </c>
      <c r="F113" s="11" t="s">
        <v>446</v>
      </c>
    </row>
    <row r="114" spans="1:7" ht="28.8" x14ac:dyDescent="0.3">
      <c r="A114" s="11">
        <v>6</v>
      </c>
      <c r="B114" s="11" t="s">
        <v>454</v>
      </c>
      <c r="C114" s="13" t="s">
        <v>4</v>
      </c>
      <c r="D114" s="11" t="s">
        <v>455</v>
      </c>
      <c r="E114" s="11" t="e">
        <f>PivotChart</f>
        <v>#NAME?</v>
      </c>
      <c r="F114" s="11" t="s">
        <v>446</v>
      </c>
    </row>
    <row r="115" spans="1:7" ht="28.8" x14ac:dyDescent="0.3">
      <c r="A115" s="11">
        <v>7</v>
      </c>
      <c r="B115" s="11" t="s">
        <v>456</v>
      </c>
      <c r="C115" s="14" t="s">
        <v>5</v>
      </c>
      <c r="D115" s="11" t="s">
        <v>457</v>
      </c>
      <c r="E115" s="11" t="e">
        <f>PivotChart after filter change</f>
        <v>#NAME?</v>
      </c>
      <c r="F115" s="11" t="s">
        <v>446</v>
      </c>
    </row>
    <row r="116" spans="1:7" ht="28.8" x14ac:dyDescent="0.3">
      <c r="A116" s="11">
        <v>8</v>
      </c>
      <c r="B116" s="11" t="s">
        <v>458</v>
      </c>
      <c r="C116" s="14" t="s">
        <v>5</v>
      </c>
      <c r="D116" s="11" t="s">
        <v>459</v>
      </c>
      <c r="E116" s="11" t="e">
        <f>PivotChart comparison by product</f>
        <v>#NAME?</v>
      </c>
      <c r="F116" s="11" t="s">
        <v>446</v>
      </c>
    </row>
    <row r="117" spans="1:7" ht="28.8" x14ac:dyDescent="0.3">
      <c r="A117" s="11">
        <v>9</v>
      </c>
      <c r="B117" s="11" t="s">
        <v>460</v>
      </c>
      <c r="C117" s="14" t="s">
        <v>5</v>
      </c>
      <c r="D117" s="11" t="s">
        <v>461</v>
      </c>
      <c r="E117" s="11" t="e">
        <f>PivotChart with highest region highlight</f>
        <v>#NAME?</v>
      </c>
      <c r="F117" s="11" t="s">
        <v>446</v>
      </c>
    </row>
    <row r="118" spans="1:7" ht="57.6" x14ac:dyDescent="0.3">
      <c r="A118" s="11">
        <v>10</v>
      </c>
      <c r="B118" s="11" t="s">
        <v>462</v>
      </c>
      <c r="C118" s="15" t="s">
        <v>6</v>
      </c>
      <c r="D118" s="11" t="s">
        <v>463</v>
      </c>
      <c r="E118" s="11" t="e">
        <f>Executive chart set</f>
        <v>#NAME?</v>
      </c>
      <c r="F118" s="11" t="s">
        <v>446</v>
      </c>
    </row>
    <row r="120" spans="1:7" x14ac:dyDescent="0.3">
      <c r="A120" s="41" t="s">
        <v>533</v>
      </c>
      <c r="B120" t="s">
        <v>532</v>
      </c>
      <c r="F120" s="41" t="s">
        <v>533</v>
      </c>
      <c r="G120" t="s">
        <v>532</v>
      </c>
    </row>
    <row r="121" spans="1:7" x14ac:dyDescent="0.3">
      <c r="A121" s="42" t="s">
        <v>418</v>
      </c>
      <c r="B121" s="40">
        <v>2402395</v>
      </c>
      <c r="F121" s="42" t="s">
        <v>419</v>
      </c>
      <c r="G121" s="40">
        <v>665987</v>
      </c>
    </row>
    <row r="122" spans="1:7" x14ac:dyDescent="0.3">
      <c r="A122" s="42" t="s">
        <v>416</v>
      </c>
      <c r="B122" s="40">
        <v>1389769</v>
      </c>
      <c r="F122" s="42" t="s">
        <v>417</v>
      </c>
      <c r="G122" s="40">
        <v>327841</v>
      </c>
    </row>
    <row r="123" spans="1:7" x14ac:dyDescent="0.3">
      <c r="A123" s="42" t="s">
        <v>412</v>
      </c>
      <c r="B123" s="40">
        <v>3929486</v>
      </c>
      <c r="F123" s="42" t="s">
        <v>415</v>
      </c>
      <c r="G123" s="40">
        <v>5558838</v>
      </c>
    </row>
    <row r="124" spans="1:7" x14ac:dyDescent="0.3">
      <c r="A124" s="42" t="s">
        <v>414</v>
      </c>
      <c r="B124" s="40">
        <v>4123245</v>
      </c>
      <c r="F124" s="42" t="s">
        <v>421</v>
      </c>
      <c r="G124" s="40">
        <v>1943801</v>
      </c>
    </row>
    <row r="125" spans="1:7" x14ac:dyDescent="0.3">
      <c r="A125" s="42" t="s">
        <v>534</v>
      </c>
      <c r="B125" s="40">
        <v>11844895</v>
      </c>
      <c r="F125" s="42" t="s">
        <v>420</v>
      </c>
      <c r="G125" s="40">
        <v>829400</v>
      </c>
    </row>
    <row r="126" spans="1:7" x14ac:dyDescent="0.3">
      <c r="F126" s="42" t="s">
        <v>413</v>
      </c>
      <c r="G126" s="40">
        <v>2519028</v>
      </c>
    </row>
    <row r="127" spans="1:7" x14ac:dyDescent="0.3">
      <c r="A127" s="42" t="s">
        <v>556</v>
      </c>
      <c r="F127" s="42" t="s">
        <v>534</v>
      </c>
      <c r="G127" s="40">
        <v>11844895</v>
      </c>
    </row>
    <row r="129" spans="1:11" x14ac:dyDescent="0.3">
      <c r="F129" s="42" t="s">
        <v>557</v>
      </c>
    </row>
    <row r="131" spans="1:11" x14ac:dyDescent="0.3">
      <c r="A131" t="s">
        <v>564</v>
      </c>
      <c r="F131" s="42" t="s">
        <v>560</v>
      </c>
    </row>
    <row r="132" spans="1:11" x14ac:dyDescent="0.3">
      <c r="A132" s="41" t="s">
        <v>533</v>
      </c>
      <c r="B132" t="s">
        <v>532</v>
      </c>
      <c r="F132" t="s">
        <v>558</v>
      </c>
    </row>
    <row r="133" spans="1:11" x14ac:dyDescent="0.3">
      <c r="A133" s="42" t="s">
        <v>535</v>
      </c>
      <c r="B133" s="40">
        <v>2279565</v>
      </c>
    </row>
    <row r="134" spans="1:11" x14ac:dyDescent="0.3">
      <c r="A134" s="42" t="s">
        <v>536</v>
      </c>
      <c r="B134" s="40">
        <v>436468</v>
      </c>
      <c r="F134" t="s">
        <v>559</v>
      </c>
    </row>
    <row r="135" spans="1:11" x14ac:dyDescent="0.3">
      <c r="A135" s="42" t="s">
        <v>537</v>
      </c>
      <c r="B135" s="40">
        <v>839233</v>
      </c>
      <c r="F135" t="s">
        <v>450</v>
      </c>
    </row>
    <row r="136" spans="1:11" x14ac:dyDescent="0.3">
      <c r="A136" s="42" t="s">
        <v>538</v>
      </c>
      <c r="B136" s="40">
        <v>947184</v>
      </c>
    </row>
    <row r="137" spans="1:11" x14ac:dyDescent="0.3">
      <c r="A137" s="42" t="s">
        <v>539</v>
      </c>
      <c r="B137" s="40">
        <v>943067</v>
      </c>
      <c r="F137" t="s">
        <v>561</v>
      </c>
      <c r="K137" t="s">
        <v>562</v>
      </c>
    </row>
    <row r="138" spans="1:11" x14ac:dyDescent="0.3">
      <c r="A138" s="42" t="s">
        <v>540</v>
      </c>
      <c r="B138" s="40">
        <v>1566518</v>
      </c>
    </row>
    <row r="139" spans="1:11" x14ac:dyDescent="0.3">
      <c r="A139" s="42" t="s">
        <v>541</v>
      </c>
      <c r="B139" s="40">
        <v>1815152</v>
      </c>
    </row>
    <row r="140" spans="1:11" x14ac:dyDescent="0.3">
      <c r="A140" s="42" t="s">
        <v>542</v>
      </c>
      <c r="B140" s="40">
        <v>825600</v>
      </c>
    </row>
    <row r="141" spans="1:11" x14ac:dyDescent="0.3">
      <c r="A141" s="42" t="s">
        <v>543</v>
      </c>
      <c r="B141" s="40">
        <v>1580704</v>
      </c>
    </row>
    <row r="142" spans="1:11" x14ac:dyDescent="0.3">
      <c r="A142" s="42" t="s">
        <v>544</v>
      </c>
      <c r="B142" s="40">
        <v>611404</v>
      </c>
    </row>
    <row r="143" spans="1:11" x14ac:dyDescent="0.3">
      <c r="A143" s="42" t="s">
        <v>534</v>
      </c>
      <c r="B143" s="40">
        <v>11844895</v>
      </c>
    </row>
    <row r="146" spans="1:11" x14ac:dyDescent="0.3">
      <c r="A146" s="42" t="s">
        <v>565</v>
      </c>
    </row>
    <row r="151" spans="1:11" x14ac:dyDescent="0.3">
      <c r="K151" t="s">
        <v>563</v>
      </c>
    </row>
    <row r="153" spans="1:11" x14ac:dyDescent="0.3">
      <c r="F153" t="s">
        <v>566</v>
      </c>
    </row>
    <row r="154" spans="1:11" x14ac:dyDescent="0.3">
      <c r="E154" s="41" t="s">
        <v>533</v>
      </c>
      <c r="F154" t="s">
        <v>532</v>
      </c>
    </row>
    <row r="155" spans="1:11" x14ac:dyDescent="0.3">
      <c r="E155" s="42" t="s">
        <v>416</v>
      </c>
      <c r="F155" s="40">
        <v>1389769</v>
      </c>
    </row>
    <row r="156" spans="1:11" x14ac:dyDescent="0.3">
      <c r="E156" s="42" t="s">
        <v>418</v>
      </c>
      <c r="F156" s="40">
        <v>2402395</v>
      </c>
    </row>
    <row r="157" spans="1:11" x14ac:dyDescent="0.3">
      <c r="E157" s="42" t="s">
        <v>412</v>
      </c>
      <c r="F157" s="40">
        <v>3929486</v>
      </c>
    </row>
    <row r="158" spans="1:11" x14ac:dyDescent="0.3">
      <c r="E158" s="42" t="s">
        <v>414</v>
      </c>
      <c r="F158" s="40">
        <v>4123245</v>
      </c>
    </row>
    <row r="159" spans="1:11" x14ac:dyDescent="0.3">
      <c r="E159" s="42" t="s">
        <v>534</v>
      </c>
      <c r="F159" s="40">
        <v>11844895</v>
      </c>
    </row>
    <row r="163" spans="2:2" x14ac:dyDescent="0.3">
      <c r="B163" t="s">
        <v>567</v>
      </c>
    </row>
  </sheetData>
  <pageMargins left="0.75" right="0.75" top="1" bottom="1" header="0.5" footer="0.5"/>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07"/>
  <sheetViews>
    <sheetView showGridLines="0" workbookViewId="0">
      <pane ySplit="4" topLeftCell="A185" activePane="bottomLeft" state="frozen"/>
      <selection pane="bottomLeft" activeCell="G211" sqref="G211"/>
    </sheetView>
  </sheetViews>
  <sheetFormatPr defaultRowHeight="14.4" x14ac:dyDescent="0.3"/>
  <cols>
    <col min="1" max="1" width="12.5546875" bestFit="1" customWidth="1"/>
    <col min="2" max="2" width="31.109375" customWidth="1"/>
    <col min="3" max="3" width="27.77734375" customWidth="1"/>
    <col min="4" max="4" width="26.88671875" customWidth="1"/>
    <col min="5" max="5" width="27.77734375" customWidth="1"/>
    <col min="6" max="6" width="20.21875" customWidth="1"/>
    <col min="7" max="7" width="12.5546875" bestFit="1" customWidth="1"/>
    <col min="8" max="8" width="14.88671875" bestFit="1" customWidth="1"/>
    <col min="9" max="9" width="14.6640625" customWidth="1"/>
    <col min="10" max="10" width="12.5546875" bestFit="1" customWidth="1"/>
    <col min="11" max="11" width="14.88671875" bestFit="1" customWidth="1"/>
    <col min="12" max="13" width="12.5546875" bestFit="1" customWidth="1"/>
    <col min="14" max="14" width="14.88671875" bestFit="1" customWidth="1"/>
  </cols>
  <sheetData>
    <row r="1" spans="1:6" ht="24" customHeight="1" x14ac:dyDescent="0.4">
      <c r="A1" s="1" t="s">
        <v>464</v>
      </c>
    </row>
    <row r="2" spans="1:6" x14ac:dyDescent="0.3">
      <c r="A2" s="2" t="s">
        <v>404</v>
      </c>
    </row>
    <row r="4" spans="1:6" ht="22.05" customHeight="1" x14ac:dyDescent="0.3">
      <c r="A4" s="7" t="s">
        <v>405</v>
      </c>
    </row>
    <row r="5" spans="1:6" x14ac:dyDescent="0.3">
      <c r="A5" s="16" t="s">
        <v>406</v>
      </c>
      <c r="B5" s="16" t="s">
        <v>407</v>
      </c>
      <c r="C5" s="16" t="s">
        <v>408</v>
      </c>
      <c r="D5" s="16" t="s">
        <v>409</v>
      </c>
      <c r="E5" s="16" t="s">
        <v>410</v>
      </c>
      <c r="F5" s="16" t="s">
        <v>411</v>
      </c>
    </row>
    <row r="6" spans="1:6" x14ac:dyDescent="0.3">
      <c r="A6" s="17">
        <v>45658</v>
      </c>
      <c r="B6" s="11" t="s">
        <v>412</v>
      </c>
      <c r="C6" s="11" t="s">
        <v>413</v>
      </c>
      <c r="D6" s="11" t="s">
        <v>51</v>
      </c>
      <c r="E6" s="11">
        <v>12</v>
      </c>
      <c r="F6" s="11">
        <v>358885</v>
      </c>
    </row>
    <row r="7" spans="1:6" x14ac:dyDescent="0.3">
      <c r="A7" s="17">
        <v>45661</v>
      </c>
      <c r="B7" s="11" t="s">
        <v>414</v>
      </c>
      <c r="C7" s="11" t="s">
        <v>415</v>
      </c>
      <c r="D7" s="11" t="s">
        <v>77</v>
      </c>
      <c r="E7" s="11">
        <v>4</v>
      </c>
      <c r="F7" s="11">
        <v>219634</v>
      </c>
    </row>
    <row r="8" spans="1:6" x14ac:dyDescent="0.3">
      <c r="A8" s="17">
        <v>45664</v>
      </c>
      <c r="B8" s="11" t="s">
        <v>414</v>
      </c>
      <c r="C8" s="11" t="s">
        <v>413</v>
      </c>
      <c r="D8" s="11" t="s">
        <v>61</v>
      </c>
      <c r="E8" s="11">
        <v>4</v>
      </c>
      <c r="F8" s="11">
        <v>119826</v>
      </c>
    </row>
    <row r="9" spans="1:6" x14ac:dyDescent="0.3">
      <c r="A9" s="17">
        <v>45667</v>
      </c>
      <c r="B9" s="11" t="s">
        <v>416</v>
      </c>
      <c r="C9" s="11" t="s">
        <v>417</v>
      </c>
      <c r="D9" s="11" t="s">
        <v>54</v>
      </c>
      <c r="E9" s="11">
        <v>7</v>
      </c>
      <c r="F9" s="11">
        <v>18189</v>
      </c>
    </row>
    <row r="10" spans="1:6" x14ac:dyDescent="0.3">
      <c r="A10" s="17">
        <v>45670</v>
      </c>
      <c r="B10" s="11" t="s">
        <v>418</v>
      </c>
      <c r="C10" s="11" t="s">
        <v>415</v>
      </c>
      <c r="D10" s="11" t="s">
        <v>97</v>
      </c>
      <c r="E10" s="11">
        <v>5</v>
      </c>
      <c r="F10" s="11">
        <v>275876</v>
      </c>
    </row>
    <row r="11" spans="1:6" x14ac:dyDescent="0.3">
      <c r="A11" s="17">
        <v>45673</v>
      </c>
      <c r="B11" s="11" t="s">
        <v>414</v>
      </c>
      <c r="C11" s="11" t="s">
        <v>417</v>
      </c>
      <c r="D11" s="11" t="s">
        <v>81</v>
      </c>
      <c r="E11" s="11">
        <v>6</v>
      </c>
      <c r="F11" s="11">
        <v>13226</v>
      </c>
    </row>
    <row r="12" spans="1:6" x14ac:dyDescent="0.3">
      <c r="A12" s="17">
        <v>45676</v>
      </c>
      <c r="B12" s="11" t="s">
        <v>416</v>
      </c>
      <c r="C12" s="11" t="s">
        <v>413</v>
      </c>
      <c r="D12" s="11" t="s">
        <v>51</v>
      </c>
      <c r="E12" s="11">
        <v>10</v>
      </c>
      <c r="F12" s="11">
        <v>300174</v>
      </c>
    </row>
    <row r="13" spans="1:6" x14ac:dyDescent="0.3">
      <c r="A13" s="17">
        <v>45679</v>
      </c>
      <c r="B13" s="11" t="s">
        <v>416</v>
      </c>
      <c r="C13" s="11" t="s">
        <v>415</v>
      </c>
      <c r="D13" s="11" t="s">
        <v>87</v>
      </c>
      <c r="E13" s="11">
        <v>7</v>
      </c>
      <c r="F13" s="11">
        <v>385831</v>
      </c>
    </row>
    <row r="14" spans="1:6" x14ac:dyDescent="0.3">
      <c r="A14" s="17">
        <v>45682</v>
      </c>
      <c r="B14" s="11" t="s">
        <v>418</v>
      </c>
      <c r="C14" s="11" t="s">
        <v>419</v>
      </c>
      <c r="D14" s="11" t="s">
        <v>87</v>
      </c>
      <c r="E14" s="11">
        <v>9</v>
      </c>
      <c r="F14" s="11">
        <v>34947</v>
      </c>
    </row>
    <row r="15" spans="1:6" x14ac:dyDescent="0.3">
      <c r="A15" s="17">
        <v>45685</v>
      </c>
      <c r="B15" s="11" t="s">
        <v>414</v>
      </c>
      <c r="C15" s="11" t="s">
        <v>420</v>
      </c>
      <c r="D15" s="11" t="s">
        <v>54</v>
      </c>
      <c r="E15" s="11">
        <v>5</v>
      </c>
      <c r="F15" s="11">
        <v>58363</v>
      </c>
    </row>
    <row r="16" spans="1:6" x14ac:dyDescent="0.3">
      <c r="A16" s="17">
        <v>45688</v>
      </c>
      <c r="B16" s="11" t="s">
        <v>414</v>
      </c>
      <c r="C16" s="11" t="s">
        <v>415</v>
      </c>
      <c r="D16" s="11" t="s">
        <v>79</v>
      </c>
      <c r="E16" s="11">
        <v>9</v>
      </c>
      <c r="F16" s="11">
        <v>494614</v>
      </c>
    </row>
    <row r="17" spans="1:6" x14ac:dyDescent="0.3">
      <c r="A17" s="17">
        <v>45691</v>
      </c>
      <c r="B17" s="11" t="s">
        <v>418</v>
      </c>
      <c r="C17" s="11" t="s">
        <v>419</v>
      </c>
      <c r="D17" s="11" t="s">
        <v>41</v>
      </c>
      <c r="E17" s="11">
        <v>11</v>
      </c>
      <c r="F17" s="11">
        <v>44704</v>
      </c>
    </row>
    <row r="18" spans="1:6" x14ac:dyDescent="0.3">
      <c r="A18" s="17">
        <v>45694</v>
      </c>
      <c r="B18" s="11" t="s">
        <v>418</v>
      </c>
      <c r="C18" s="11" t="s">
        <v>417</v>
      </c>
      <c r="D18" s="11" t="s">
        <v>43</v>
      </c>
      <c r="E18" s="11">
        <v>12</v>
      </c>
      <c r="F18" s="11">
        <v>30460</v>
      </c>
    </row>
    <row r="19" spans="1:6" x14ac:dyDescent="0.3">
      <c r="A19" s="17">
        <v>45697</v>
      </c>
      <c r="B19" s="11" t="s">
        <v>418</v>
      </c>
      <c r="C19" s="11" t="s">
        <v>417</v>
      </c>
      <c r="D19" s="11" t="s">
        <v>72</v>
      </c>
      <c r="E19" s="11">
        <v>6</v>
      </c>
      <c r="F19" s="11">
        <v>16296</v>
      </c>
    </row>
    <row r="20" spans="1:6" x14ac:dyDescent="0.3">
      <c r="A20" s="17">
        <v>45700</v>
      </c>
      <c r="B20" s="11" t="s">
        <v>418</v>
      </c>
      <c r="C20" s="11" t="s">
        <v>420</v>
      </c>
      <c r="D20" s="11" t="s">
        <v>47</v>
      </c>
      <c r="E20" s="11">
        <v>4</v>
      </c>
      <c r="F20" s="11">
        <v>49444</v>
      </c>
    </row>
    <row r="21" spans="1:6" x14ac:dyDescent="0.3">
      <c r="A21" s="17">
        <v>45703</v>
      </c>
      <c r="B21" s="11" t="s">
        <v>414</v>
      </c>
      <c r="C21" s="11" t="s">
        <v>417</v>
      </c>
      <c r="D21" s="11" t="s">
        <v>95</v>
      </c>
      <c r="E21" s="11">
        <v>3</v>
      </c>
      <c r="F21" s="11">
        <v>10162</v>
      </c>
    </row>
    <row r="22" spans="1:6" x14ac:dyDescent="0.3">
      <c r="A22" s="17">
        <v>45706</v>
      </c>
      <c r="B22" s="11" t="s">
        <v>418</v>
      </c>
      <c r="C22" s="11" t="s">
        <v>419</v>
      </c>
      <c r="D22" s="11" t="s">
        <v>81</v>
      </c>
      <c r="E22" s="11">
        <v>1</v>
      </c>
      <c r="F22" s="11">
        <v>4489</v>
      </c>
    </row>
    <row r="23" spans="1:6" x14ac:dyDescent="0.3">
      <c r="A23" s="17">
        <v>45709</v>
      </c>
      <c r="B23" s="11" t="s">
        <v>418</v>
      </c>
      <c r="C23" s="11" t="s">
        <v>421</v>
      </c>
      <c r="D23" s="11" t="s">
        <v>72</v>
      </c>
      <c r="E23" s="11">
        <v>10</v>
      </c>
      <c r="F23" s="11">
        <v>222969</v>
      </c>
    </row>
    <row r="24" spans="1:6" x14ac:dyDescent="0.3">
      <c r="A24" s="17">
        <v>45712</v>
      </c>
      <c r="B24" s="11" t="s">
        <v>418</v>
      </c>
      <c r="C24" s="11" t="s">
        <v>419</v>
      </c>
      <c r="D24" s="11" t="s">
        <v>75</v>
      </c>
      <c r="E24" s="11">
        <v>8</v>
      </c>
      <c r="F24" s="11">
        <v>31750</v>
      </c>
    </row>
    <row r="25" spans="1:6" x14ac:dyDescent="0.3">
      <c r="A25" s="17">
        <v>45715</v>
      </c>
      <c r="B25" s="11" t="s">
        <v>414</v>
      </c>
      <c r="C25" s="11" t="s">
        <v>417</v>
      </c>
      <c r="D25" s="11" t="s">
        <v>51</v>
      </c>
      <c r="E25" s="11">
        <v>11</v>
      </c>
      <c r="F25" s="11">
        <v>26194</v>
      </c>
    </row>
    <row r="26" spans="1:6" x14ac:dyDescent="0.3">
      <c r="A26" s="17">
        <v>45718</v>
      </c>
      <c r="B26" s="11" t="s">
        <v>418</v>
      </c>
      <c r="C26" s="11" t="s">
        <v>420</v>
      </c>
      <c r="D26" s="11" t="s">
        <v>91</v>
      </c>
      <c r="E26" s="11">
        <v>11</v>
      </c>
      <c r="F26" s="11">
        <v>132745</v>
      </c>
    </row>
    <row r="27" spans="1:6" x14ac:dyDescent="0.3">
      <c r="A27" s="17">
        <v>45721</v>
      </c>
      <c r="B27" s="11" t="s">
        <v>416</v>
      </c>
      <c r="C27" s="11" t="s">
        <v>421</v>
      </c>
      <c r="D27" s="11" t="s">
        <v>91</v>
      </c>
      <c r="E27" s="11">
        <v>5</v>
      </c>
      <c r="F27" s="11">
        <v>109840</v>
      </c>
    </row>
    <row r="28" spans="1:6" x14ac:dyDescent="0.3">
      <c r="A28" s="17">
        <v>45724</v>
      </c>
      <c r="B28" s="11" t="s">
        <v>412</v>
      </c>
      <c r="C28" s="11" t="s">
        <v>421</v>
      </c>
      <c r="D28" s="11" t="s">
        <v>31</v>
      </c>
      <c r="E28" s="11">
        <v>1</v>
      </c>
      <c r="F28" s="11">
        <v>22005</v>
      </c>
    </row>
    <row r="29" spans="1:6" x14ac:dyDescent="0.3">
      <c r="A29" s="17">
        <v>45727</v>
      </c>
      <c r="B29" s="11" t="s">
        <v>414</v>
      </c>
      <c r="C29" s="11" t="s">
        <v>420</v>
      </c>
      <c r="D29" s="11" t="s">
        <v>97</v>
      </c>
      <c r="E29" s="11">
        <v>2</v>
      </c>
      <c r="F29" s="11">
        <v>25730</v>
      </c>
    </row>
    <row r="30" spans="1:6" x14ac:dyDescent="0.3">
      <c r="A30" s="17">
        <v>45730</v>
      </c>
      <c r="B30" s="11" t="s">
        <v>414</v>
      </c>
      <c r="C30" s="11" t="s">
        <v>417</v>
      </c>
      <c r="D30" s="11" t="s">
        <v>85</v>
      </c>
      <c r="E30" s="11">
        <v>4</v>
      </c>
      <c r="F30" s="11">
        <v>11145</v>
      </c>
    </row>
    <row r="31" spans="1:6" x14ac:dyDescent="0.3">
      <c r="A31" s="17">
        <v>45733</v>
      </c>
      <c r="B31" s="11" t="s">
        <v>414</v>
      </c>
      <c r="C31" s="11" t="s">
        <v>419</v>
      </c>
      <c r="D31" s="11" t="s">
        <v>56</v>
      </c>
      <c r="E31" s="11">
        <v>3</v>
      </c>
      <c r="F31" s="11">
        <v>10045</v>
      </c>
    </row>
    <row r="32" spans="1:6" x14ac:dyDescent="0.3">
      <c r="A32" s="17">
        <v>45736</v>
      </c>
      <c r="B32" s="11" t="s">
        <v>416</v>
      </c>
      <c r="C32" s="11" t="s">
        <v>419</v>
      </c>
      <c r="D32" s="11" t="s">
        <v>56</v>
      </c>
      <c r="E32" s="11">
        <v>3</v>
      </c>
      <c r="F32" s="11">
        <v>14243</v>
      </c>
    </row>
    <row r="33" spans="1:6" x14ac:dyDescent="0.3">
      <c r="A33" s="17">
        <v>45739</v>
      </c>
      <c r="B33" s="11" t="s">
        <v>414</v>
      </c>
      <c r="C33" s="11" t="s">
        <v>415</v>
      </c>
      <c r="D33" s="11" t="s">
        <v>81</v>
      </c>
      <c r="E33" s="11">
        <v>4</v>
      </c>
      <c r="F33" s="11">
        <v>218994</v>
      </c>
    </row>
    <row r="34" spans="1:6" x14ac:dyDescent="0.3">
      <c r="A34" s="17">
        <v>45742</v>
      </c>
      <c r="B34" s="11" t="s">
        <v>414</v>
      </c>
      <c r="C34" s="11" t="s">
        <v>421</v>
      </c>
      <c r="D34" s="11" t="s">
        <v>75</v>
      </c>
      <c r="E34" s="11">
        <v>11</v>
      </c>
      <c r="F34" s="11">
        <v>244351</v>
      </c>
    </row>
    <row r="35" spans="1:6" x14ac:dyDescent="0.3">
      <c r="A35" s="17">
        <v>45745</v>
      </c>
      <c r="B35" s="11" t="s">
        <v>418</v>
      </c>
      <c r="C35" s="11" t="s">
        <v>419</v>
      </c>
      <c r="D35" s="11" t="s">
        <v>87</v>
      </c>
      <c r="E35" s="11">
        <v>12</v>
      </c>
      <c r="F35" s="11">
        <v>50135</v>
      </c>
    </row>
    <row r="36" spans="1:6" x14ac:dyDescent="0.3">
      <c r="A36" s="17">
        <v>45748</v>
      </c>
      <c r="B36" s="11" t="s">
        <v>414</v>
      </c>
      <c r="C36" s="11" t="s">
        <v>420</v>
      </c>
      <c r="D36" s="11" t="s">
        <v>75</v>
      </c>
      <c r="E36" s="11">
        <v>3</v>
      </c>
      <c r="F36" s="11">
        <v>37888</v>
      </c>
    </row>
    <row r="37" spans="1:6" x14ac:dyDescent="0.3">
      <c r="A37" s="17">
        <v>45751</v>
      </c>
      <c r="B37" s="11" t="s">
        <v>414</v>
      </c>
      <c r="C37" s="11" t="s">
        <v>413</v>
      </c>
      <c r="D37" s="11" t="s">
        <v>97</v>
      </c>
      <c r="E37" s="11">
        <v>4</v>
      </c>
      <c r="F37" s="11">
        <v>120271</v>
      </c>
    </row>
    <row r="38" spans="1:6" x14ac:dyDescent="0.3">
      <c r="A38" s="17">
        <v>45754</v>
      </c>
      <c r="B38" s="11" t="s">
        <v>414</v>
      </c>
      <c r="C38" s="11" t="s">
        <v>417</v>
      </c>
      <c r="D38" s="11" t="s">
        <v>56</v>
      </c>
      <c r="E38" s="11">
        <v>5</v>
      </c>
      <c r="F38" s="11">
        <v>14103</v>
      </c>
    </row>
    <row r="39" spans="1:6" x14ac:dyDescent="0.3">
      <c r="A39" s="17">
        <v>45757</v>
      </c>
      <c r="B39" s="11" t="s">
        <v>416</v>
      </c>
      <c r="C39" s="11" t="s">
        <v>417</v>
      </c>
      <c r="D39" s="11" t="s">
        <v>61</v>
      </c>
      <c r="E39" s="11">
        <v>4</v>
      </c>
      <c r="F39" s="11">
        <v>10225</v>
      </c>
    </row>
    <row r="40" spans="1:6" x14ac:dyDescent="0.3">
      <c r="A40" s="17">
        <v>45760</v>
      </c>
      <c r="B40" s="11" t="s">
        <v>418</v>
      </c>
      <c r="C40" s="11" t="s">
        <v>413</v>
      </c>
      <c r="D40" s="11" t="s">
        <v>81</v>
      </c>
      <c r="E40" s="11">
        <v>2</v>
      </c>
      <c r="F40" s="11">
        <v>59133</v>
      </c>
    </row>
    <row r="41" spans="1:6" x14ac:dyDescent="0.3">
      <c r="A41" s="17">
        <v>45763</v>
      </c>
      <c r="B41" s="11" t="s">
        <v>412</v>
      </c>
      <c r="C41" s="11" t="s">
        <v>421</v>
      </c>
      <c r="D41" s="11" t="s">
        <v>70</v>
      </c>
      <c r="E41" s="11">
        <v>12</v>
      </c>
      <c r="F41" s="11">
        <v>263251</v>
      </c>
    </row>
    <row r="42" spans="1:6" x14ac:dyDescent="0.3">
      <c r="A42" s="17">
        <v>45766</v>
      </c>
      <c r="B42" s="11" t="s">
        <v>412</v>
      </c>
      <c r="C42" s="11" t="s">
        <v>415</v>
      </c>
      <c r="D42" s="11" t="s">
        <v>72</v>
      </c>
      <c r="E42" s="11">
        <v>7</v>
      </c>
      <c r="F42" s="11">
        <v>385710</v>
      </c>
    </row>
    <row r="43" spans="1:6" x14ac:dyDescent="0.3">
      <c r="A43" s="17">
        <v>45769</v>
      </c>
      <c r="B43" s="11" t="s">
        <v>414</v>
      </c>
      <c r="C43" s="11" t="s">
        <v>419</v>
      </c>
      <c r="D43" s="11" t="s">
        <v>36</v>
      </c>
      <c r="E43" s="11">
        <v>4</v>
      </c>
      <c r="F43" s="11">
        <v>17441</v>
      </c>
    </row>
    <row r="44" spans="1:6" x14ac:dyDescent="0.3">
      <c r="A44" s="17">
        <v>45772</v>
      </c>
      <c r="B44" s="11" t="s">
        <v>414</v>
      </c>
      <c r="C44" s="11" t="s">
        <v>420</v>
      </c>
      <c r="D44" s="11" t="s">
        <v>93</v>
      </c>
      <c r="E44" s="11">
        <v>1</v>
      </c>
      <c r="F44" s="11">
        <v>14716</v>
      </c>
    </row>
    <row r="45" spans="1:6" x14ac:dyDescent="0.3">
      <c r="A45" s="17">
        <v>45775</v>
      </c>
      <c r="B45" s="11" t="s">
        <v>414</v>
      </c>
      <c r="C45" s="11" t="s">
        <v>419</v>
      </c>
      <c r="D45" s="11" t="s">
        <v>31</v>
      </c>
      <c r="E45" s="11">
        <v>6</v>
      </c>
      <c r="F45" s="11">
        <v>24446</v>
      </c>
    </row>
    <row r="46" spans="1:6" x14ac:dyDescent="0.3">
      <c r="A46" s="17">
        <v>45778</v>
      </c>
      <c r="B46" s="11" t="s">
        <v>414</v>
      </c>
      <c r="C46" s="11" t="s">
        <v>419</v>
      </c>
      <c r="D46" s="11" t="s">
        <v>81</v>
      </c>
      <c r="E46" s="11">
        <v>12</v>
      </c>
      <c r="F46" s="11">
        <v>50473</v>
      </c>
    </row>
    <row r="47" spans="1:6" x14ac:dyDescent="0.3">
      <c r="A47" s="17">
        <v>45781</v>
      </c>
      <c r="B47" s="11" t="s">
        <v>412</v>
      </c>
      <c r="C47" s="11" t="s">
        <v>419</v>
      </c>
      <c r="D47" s="11" t="s">
        <v>56</v>
      </c>
      <c r="E47" s="11">
        <v>5</v>
      </c>
      <c r="F47" s="11">
        <v>21570</v>
      </c>
    </row>
    <row r="48" spans="1:6" x14ac:dyDescent="0.3">
      <c r="A48" s="17">
        <v>45784</v>
      </c>
      <c r="B48" s="11" t="s">
        <v>414</v>
      </c>
      <c r="C48" s="11" t="s">
        <v>415</v>
      </c>
      <c r="D48" s="11" t="s">
        <v>70</v>
      </c>
      <c r="E48" s="11">
        <v>6</v>
      </c>
      <c r="F48" s="11">
        <v>331312</v>
      </c>
    </row>
    <row r="49" spans="1:6" x14ac:dyDescent="0.3">
      <c r="A49" s="17">
        <v>45787</v>
      </c>
      <c r="B49" s="11" t="s">
        <v>412</v>
      </c>
      <c r="C49" s="11" t="s">
        <v>419</v>
      </c>
      <c r="D49" s="11" t="s">
        <v>47</v>
      </c>
      <c r="E49" s="11">
        <v>10</v>
      </c>
      <c r="F49" s="11">
        <v>42375</v>
      </c>
    </row>
    <row r="50" spans="1:6" x14ac:dyDescent="0.3">
      <c r="A50" s="17">
        <v>45790</v>
      </c>
      <c r="B50" s="11" t="s">
        <v>416</v>
      </c>
      <c r="C50" s="11" t="s">
        <v>419</v>
      </c>
      <c r="D50" s="11" t="s">
        <v>85</v>
      </c>
      <c r="E50" s="11">
        <v>10</v>
      </c>
      <c r="F50" s="11">
        <v>38222</v>
      </c>
    </row>
    <row r="51" spans="1:6" x14ac:dyDescent="0.3">
      <c r="A51" s="17">
        <v>45793</v>
      </c>
      <c r="B51" s="11" t="s">
        <v>416</v>
      </c>
      <c r="C51" s="11" t="s">
        <v>417</v>
      </c>
      <c r="D51" s="11" t="s">
        <v>72</v>
      </c>
      <c r="E51" s="11">
        <v>3</v>
      </c>
      <c r="F51" s="11">
        <v>9282</v>
      </c>
    </row>
    <row r="52" spans="1:6" x14ac:dyDescent="0.3">
      <c r="A52" s="17">
        <v>45796</v>
      </c>
      <c r="B52" s="11" t="s">
        <v>412</v>
      </c>
      <c r="C52" s="11" t="s">
        <v>415</v>
      </c>
      <c r="D52" s="11" t="s">
        <v>58</v>
      </c>
      <c r="E52" s="11">
        <v>7</v>
      </c>
      <c r="F52" s="11">
        <v>385681</v>
      </c>
    </row>
    <row r="53" spans="1:6" x14ac:dyDescent="0.3">
      <c r="A53" s="17">
        <v>45799</v>
      </c>
      <c r="B53" s="11" t="s">
        <v>412</v>
      </c>
      <c r="C53" s="11" t="s">
        <v>419</v>
      </c>
      <c r="D53" s="11" t="s">
        <v>64</v>
      </c>
      <c r="E53" s="11">
        <v>6</v>
      </c>
      <c r="F53" s="11">
        <v>25105</v>
      </c>
    </row>
    <row r="54" spans="1:6" x14ac:dyDescent="0.3">
      <c r="A54" s="17">
        <v>45802</v>
      </c>
      <c r="B54" s="11" t="s">
        <v>418</v>
      </c>
      <c r="C54" s="11" t="s">
        <v>419</v>
      </c>
      <c r="D54" s="11" t="s">
        <v>58</v>
      </c>
      <c r="E54" s="11">
        <v>2</v>
      </c>
      <c r="F54" s="11">
        <v>9852</v>
      </c>
    </row>
    <row r="55" spans="1:6" x14ac:dyDescent="0.3">
      <c r="A55" s="17">
        <v>45805</v>
      </c>
      <c r="B55" s="11" t="s">
        <v>416</v>
      </c>
      <c r="C55" s="11" t="s">
        <v>417</v>
      </c>
      <c r="D55" s="11" t="s">
        <v>81</v>
      </c>
      <c r="E55" s="11">
        <v>1</v>
      </c>
      <c r="F55" s="11">
        <v>3366</v>
      </c>
    </row>
    <row r="56" spans="1:6" x14ac:dyDescent="0.3">
      <c r="A56" s="17">
        <v>45808</v>
      </c>
      <c r="B56" s="11" t="s">
        <v>412</v>
      </c>
      <c r="C56" s="11" t="s">
        <v>417</v>
      </c>
      <c r="D56" s="11" t="s">
        <v>41</v>
      </c>
      <c r="E56" s="11">
        <v>11</v>
      </c>
      <c r="F56" s="11">
        <v>25829</v>
      </c>
    </row>
    <row r="57" spans="1:6" x14ac:dyDescent="0.3">
      <c r="A57" s="17">
        <v>45811</v>
      </c>
      <c r="B57" s="11" t="s">
        <v>416</v>
      </c>
      <c r="C57" s="11" t="s">
        <v>421</v>
      </c>
      <c r="D57" s="11" t="s">
        <v>54</v>
      </c>
      <c r="E57" s="11">
        <v>1</v>
      </c>
      <c r="F57" s="11">
        <v>21248</v>
      </c>
    </row>
    <row r="58" spans="1:6" x14ac:dyDescent="0.3">
      <c r="A58" s="17">
        <v>45814</v>
      </c>
      <c r="B58" s="11" t="s">
        <v>412</v>
      </c>
      <c r="C58" s="11" t="s">
        <v>421</v>
      </c>
      <c r="D58" s="11" t="s">
        <v>77</v>
      </c>
      <c r="E58" s="11">
        <v>11</v>
      </c>
      <c r="F58" s="11">
        <v>240937</v>
      </c>
    </row>
    <row r="59" spans="1:6" x14ac:dyDescent="0.3">
      <c r="A59" s="17">
        <v>45817</v>
      </c>
      <c r="B59" s="11" t="s">
        <v>412</v>
      </c>
      <c r="C59" s="11" t="s">
        <v>419</v>
      </c>
      <c r="D59" s="11" t="s">
        <v>93</v>
      </c>
      <c r="E59" s="11">
        <v>5</v>
      </c>
      <c r="F59" s="11">
        <v>21021</v>
      </c>
    </row>
    <row r="60" spans="1:6" x14ac:dyDescent="0.3">
      <c r="A60" s="17">
        <v>45820</v>
      </c>
      <c r="B60" s="11" t="s">
        <v>412</v>
      </c>
      <c r="C60" s="11" t="s">
        <v>420</v>
      </c>
      <c r="D60" s="11" t="s">
        <v>87</v>
      </c>
      <c r="E60" s="11">
        <v>12</v>
      </c>
      <c r="F60" s="11">
        <v>142938</v>
      </c>
    </row>
    <row r="61" spans="1:6" x14ac:dyDescent="0.3">
      <c r="A61" s="17">
        <v>45823</v>
      </c>
      <c r="B61" s="11" t="s">
        <v>412</v>
      </c>
      <c r="C61" s="11" t="s">
        <v>413</v>
      </c>
      <c r="D61" s="11" t="s">
        <v>43</v>
      </c>
      <c r="E61" s="11">
        <v>10</v>
      </c>
      <c r="F61" s="11">
        <v>298210</v>
      </c>
    </row>
    <row r="62" spans="1:6" x14ac:dyDescent="0.3">
      <c r="A62" s="17">
        <v>45826</v>
      </c>
      <c r="B62" s="11" t="s">
        <v>418</v>
      </c>
      <c r="C62" s="11" t="s">
        <v>420</v>
      </c>
      <c r="D62" s="11" t="s">
        <v>91</v>
      </c>
      <c r="E62" s="11">
        <v>7</v>
      </c>
      <c r="F62" s="11">
        <v>85249</v>
      </c>
    </row>
    <row r="63" spans="1:6" x14ac:dyDescent="0.3">
      <c r="A63" s="17">
        <v>45829</v>
      </c>
      <c r="B63" s="11" t="s">
        <v>412</v>
      </c>
      <c r="C63" s="11" t="s">
        <v>415</v>
      </c>
      <c r="D63" s="11" t="s">
        <v>85</v>
      </c>
      <c r="E63" s="11">
        <v>12</v>
      </c>
      <c r="F63" s="11">
        <v>659989</v>
      </c>
    </row>
    <row r="64" spans="1:6" x14ac:dyDescent="0.3">
      <c r="A64" s="17">
        <v>45832</v>
      </c>
      <c r="B64" s="11" t="s">
        <v>416</v>
      </c>
      <c r="C64" s="11" t="s">
        <v>417</v>
      </c>
      <c r="D64" s="11" t="s">
        <v>97</v>
      </c>
      <c r="E64" s="11">
        <v>5</v>
      </c>
      <c r="F64" s="11">
        <v>15418</v>
      </c>
    </row>
    <row r="65" spans="1:6" x14ac:dyDescent="0.3">
      <c r="A65" s="17">
        <v>45835</v>
      </c>
      <c r="B65" s="11" t="s">
        <v>416</v>
      </c>
      <c r="C65" s="11" t="s">
        <v>420</v>
      </c>
      <c r="D65" s="11" t="s">
        <v>36</v>
      </c>
      <c r="E65" s="11">
        <v>6</v>
      </c>
      <c r="F65" s="11">
        <v>74364</v>
      </c>
    </row>
    <row r="66" spans="1:6" x14ac:dyDescent="0.3">
      <c r="A66" s="17">
        <v>45838</v>
      </c>
      <c r="B66" s="11" t="s">
        <v>414</v>
      </c>
      <c r="C66" s="11" t="s">
        <v>417</v>
      </c>
      <c r="D66" s="11" t="s">
        <v>66</v>
      </c>
      <c r="E66" s="11">
        <v>2</v>
      </c>
      <c r="F66" s="11">
        <v>7144</v>
      </c>
    </row>
    <row r="67" spans="1:6" x14ac:dyDescent="0.3">
      <c r="A67" s="17">
        <v>45841</v>
      </c>
      <c r="B67" s="11" t="s">
        <v>418</v>
      </c>
      <c r="C67" s="11" t="s">
        <v>415</v>
      </c>
      <c r="D67" s="11" t="s">
        <v>72</v>
      </c>
      <c r="E67" s="11">
        <v>8</v>
      </c>
      <c r="F67" s="11">
        <v>438864</v>
      </c>
    </row>
    <row r="68" spans="1:6" x14ac:dyDescent="0.3">
      <c r="A68" s="17">
        <v>45844</v>
      </c>
      <c r="B68" s="11" t="s">
        <v>414</v>
      </c>
      <c r="C68" s="11" t="s">
        <v>413</v>
      </c>
      <c r="D68" s="11" t="s">
        <v>89</v>
      </c>
      <c r="E68" s="11">
        <v>8</v>
      </c>
      <c r="F68" s="11">
        <v>239253</v>
      </c>
    </row>
    <row r="69" spans="1:6" x14ac:dyDescent="0.3">
      <c r="A69" s="17">
        <v>45847</v>
      </c>
      <c r="B69" s="11" t="s">
        <v>414</v>
      </c>
      <c r="C69" s="11" t="s">
        <v>421</v>
      </c>
      <c r="D69" s="11" t="s">
        <v>95</v>
      </c>
      <c r="E69" s="11">
        <v>9</v>
      </c>
      <c r="F69" s="11">
        <v>198212</v>
      </c>
    </row>
    <row r="70" spans="1:6" x14ac:dyDescent="0.3">
      <c r="A70" s="17">
        <v>45850</v>
      </c>
      <c r="B70" s="11" t="s">
        <v>414</v>
      </c>
      <c r="C70" s="11" t="s">
        <v>419</v>
      </c>
      <c r="D70" s="11" t="s">
        <v>72</v>
      </c>
      <c r="E70" s="11">
        <v>12</v>
      </c>
      <c r="F70" s="11">
        <v>50853</v>
      </c>
    </row>
    <row r="71" spans="1:6" x14ac:dyDescent="0.3">
      <c r="A71" s="17">
        <v>45853</v>
      </c>
      <c r="B71" s="11" t="s">
        <v>418</v>
      </c>
      <c r="C71" s="11" t="s">
        <v>413</v>
      </c>
      <c r="D71" s="11" t="s">
        <v>56</v>
      </c>
      <c r="E71" s="11">
        <v>2</v>
      </c>
      <c r="F71" s="11">
        <v>60284</v>
      </c>
    </row>
    <row r="72" spans="1:6" x14ac:dyDescent="0.3">
      <c r="A72" s="17">
        <v>45856</v>
      </c>
      <c r="B72" s="11" t="s">
        <v>414</v>
      </c>
      <c r="C72" s="11" t="s">
        <v>421</v>
      </c>
      <c r="D72" s="11" t="s">
        <v>97</v>
      </c>
      <c r="E72" s="11">
        <v>8</v>
      </c>
      <c r="F72" s="11">
        <v>178668</v>
      </c>
    </row>
    <row r="73" spans="1:6" x14ac:dyDescent="0.3">
      <c r="A73" s="17">
        <v>45859</v>
      </c>
      <c r="B73" s="11" t="s">
        <v>414</v>
      </c>
      <c r="C73" s="11" t="s">
        <v>413</v>
      </c>
      <c r="D73" s="11" t="s">
        <v>31</v>
      </c>
      <c r="E73" s="11">
        <v>8</v>
      </c>
      <c r="F73" s="11">
        <v>240662</v>
      </c>
    </row>
    <row r="74" spans="1:6" x14ac:dyDescent="0.3">
      <c r="A74" s="17">
        <v>45862</v>
      </c>
      <c r="B74" s="11" t="s">
        <v>412</v>
      </c>
      <c r="C74" s="11" t="s">
        <v>419</v>
      </c>
      <c r="D74" s="11" t="s">
        <v>54</v>
      </c>
      <c r="E74" s="11">
        <v>6</v>
      </c>
      <c r="F74" s="11">
        <v>24116</v>
      </c>
    </row>
    <row r="75" spans="1:6" x14ac:dyDescent="0.3">
      <c r="A75" s="17">
        <v>45865</v>
      </c>
      <c r="B75" s="11" t="s">
        <v>418</v>
      </c>
      <c r="C75" s="11" t="s">
        <v>413</v>
      </c>
      <c r="D75" s="11" t="s">
        <v>87</v>
      </c>
      <c r="E75" s="11">
        <v>12</v>
      </c>
      <c r="F75" s="11">
        <v>360263</v>
      </c>
    </row>
    <row r="76" spans="1:6" x14ac:dyDescent="0.3">
      <c r="A76" s="17">
        <v>45868</v>
      </c>
      <c r="B76" s="11" t="s">
        <v>416</v>
      </c>
      <c r="C76" s="11" t="s">
        <v>420</v>
      </c>
      <c r="D76" s="11" t="s">
        <v>54</v>
      </c>
      <c r="E76" s="11">
        <v>2</v>
      </c>
      <c r="F76" s="11">
        <v>23977</v>
      </c>
    </row>
    <row r="77" spans="1:6" x14ac:dyDescent="0.3">
      <c r="A77" s="17">
        <v>45871</v>
      </c>
      <c r="B77" s="11" t="s">
        <v>414</v>
      </c>
      <c r="C77" s="11" t="s">
        <v>419</v>
      </c>
      <c r="D77" s="11" t="s">
        <v>81</v>
      </c>
      <c r="E77" s="11">
        <v>4</v>
      </c>
      <c r="F77" s="11">
        <v>17900</v>
      </c>
    </row>
    <row r="78" spans="1:6" x14ac:dyDescent="0.3">
      <c r="A78" s="17">
        <v>45874</v>
      </c>
      <c r="B78" s="11" t="s">
        <v>414</v>
      </c>
      <c r="C78" s="11" t="s">
        <v>419</v>
      </c>
      <c r="D78" s="11" t="s">
        <v>31</v>
      </c>
      <c r="E78" s="11">
        <v>2</v>
      </c>
      <c r="F78" s="11">
        <v>8410</v>
      </c>
    </row>
    <row r="79" spans="1:6" x14ac:dyDescent="0.3">
      <c r="A79" s="17">
        <v>45877</v>
      </c>
      <c r="B79" s="11" t="s">
        <v>412</v>
      </c>
      <c r="C79" s="11" t="s">
        <v>419</v>
      </c>
      <c r="D79" s="11" t="s">
        <v>93</v>
      </c>
      <c r="E79" s="11">
        <v>4</v>
      </c>
      <c r="F79" s="11">
        <v>16508</v>
      </c>
    </row>
    <row r="80" spans="1:6" x14ac:dyDescent="0.3">
      <c r="A80" s="17">
        <v>45880</v>
      </c>
      <c r="B80" s="11" t="s">
        <v>418</v>
      </c>
      <c r="C80" s="11" t="s">
        <v>419</v>
      </c>
      <c r="D80" s="11" t="s">
        <v>81</v>
      </c>
      <c r="E80" s="11">
        <v>9</v>
      </c>
      <c r="F80" s="11">
        <v>36816</v>
      </c>
    </row>
    <row r="81" spans="1:6" x14ac:dyDescent="0.3">
      <c r="A81" s="17">
        <v>45883</v>
      </c>
      <c r="B81" s="11" t="s">
        <v>414</v>
      </c>
      <c r="C81" s="11" t="s">
        <v>417</v>
      </c>
      <c r="D81" s="11" t="s">
        <v>81</v>
      </c>
      <c r="E81" s="11">
        <v>6</v>
      </c>
      <c r="F81" s="11">
        <v>15882</v>
      </c>
    </row>
    <row r="82" spans="1:6" x14ac:dyDescent="0.3">
      <c r="A82" s="17">
        <v>45886</v>
      </c>
      <c r="B82" s="11" t="s">
        <v>414</v>
      </c>
      <c r="C82" s="11" t="s">
        <v>413</v>
      </c>
      <c r="D82" s="11" t="s">
        <v>61</v>
      </c>
      <c r="E82" s="11">
        <v>5</v>
      </c>
      <c r="F82" s="11">
        <v>149888</v>
      </c>
    </row>
    <row r="83" spans="1:6" x14ac:dyDescent="0.3">
      <c r="A83" s="17">
        <v>45889</v>
      </c>
      <c r="B83" s="11" t="s">
        <v>416</v>
      </c>
      <c r="C83" s="11" t="s">
        <v>417</v>
      </c>
      <c r="D83" s="11" t="s">
        <v>54</v>
      </c>
      <c r="E83" s="11">
        <v>6</v>
      </c>
      <c r="F83" s="11">
        <v>13979</v>
      </c>
    </row>
    <row r="84" spans="1:6" x14ac:dyDescent="0.3">
      <c r="A84" s="17">
        <v>45892</v>
      </c>
      <c r="B84" s="11" t="s">
        <v>412</v>
      </c>
      <c r="C84" s="11" t="s">
        <v>421</v>
      </c>
      <c r="D84" s="11" t="s">
        <v>54</v>
      </c>
      <c r="E84" s="11">
        <v>12</v>
      </c>
      <c r="F84" s="11">
        <v>265966</v>
      </c>
    </row>
    <row r="85" spans="1:6" x14ac:dyDescent="0.3">
      <c r="A85" s="17">
        <v>45895</v>
      </c>
      <c r="B85" s="11" t="s">
        <v>418</v>
      </c>
      <c r="C85" s="11" t="s">
        <v>417</v>
      </c>
      <c r="D85" s="11" t="s">
        <v>85</v>
      </c>
      <c r="E85" s="11">
        <v>9</v>
      </c>
      <c r="F85" s="11">
        <v>25388</v>
      </c>
    </row>
    <row r="86" spans="1:6" x14ac:dyDescent="0.3">
      <c r="A86" s="17">
        <v>45898</v>
      </c>
      <c r="B86" s="11" t="s">
        <v>418</v>
      </c>
      <c r="C86" s="11" t="s">
        <v>415</v>
      </c>
      <c r="D86" s="11" t="s">
        <v>54</v>
      </c>
      <c r="E86" s="11">
        <v>5</v>
      </c>
      <c r="F86" s="11">
        <v>274863</v>
      </c>
    </row>
    <row r="87" spans="1:6" x14ac:dyDescent="0.3">
      <c r="A87" s="17">
        <v>45901</v>
      </c>
      <c r="B87" s="11" t="s">
        <v>418</v>
      </c>
      <c r="C87" s="11" t="s">
        <v>421</v>
      </c>
      <c r="D87" s="11" t="s">
        <v>61</v>
      </c>
      <c r="E87" s="11">
        <v>1</v>
      </c>
      <c r="F87" s="11">
        <v>24375</v>
      </c>
    </row>
    <row r="88" spans="1:6" x14ac:dyDescent="0.3">
      <c r="A88" s="17">
        <v>45904</v>
      </c>
      <c r="B88" s="11" t="s">
        <v>412</v>
      </c>
      <c r="C88" s="11" t="s">
        <v>413</v>
      </c>
      <c r="D88" s="11" t="s">
        <v>36</v>
      </c>
      <c r="E88" s="11">
        <v>1</v>
      </c>
      <c r="F88" s="11">
        <v>32533</v>
      </c>
    </row>
    <row r="89" spans="1:6" x14ac:dyDescent="0.3">
      <c r="A89" s="17">
        <v>45907</v>
      </c>
      <c r="B89" s="11" t="s">
        <v>418</v>
      </c>
      <c r="C89" s="11" t="s">
        <v>417</v>
      </c>
      <c r="D89" s="11" t="s">
        <v>47</v>
      </c>
      <c r="E89" s="11">
        <v>11</v>
      </c>
      <c r="F89" s="11">
        <v>29521</v>
      </c>
    </row>
    <row r="90" spans="1:6" x14ac:dyDescent="0.3">
      <c r="A90" s="17">
        <v>45910</v>
      </c>
      <c r="B90" s="11" t="s">
        <v>416</v>
      </c>
      <c r="C90" s="11" t="s">
        <v>415</v>
      </c>
      <c r="D90" s="11" t="s">
        <v>85</v>
      </c>
      <c r="E90" s="11">
        <v>5</v>
      </c>
      <c r="F90" s="11">
        <v>276845</v>
      </c>
    </row>
    <row r="91" spans="1:6" x14ac:dyDescent="0.3">
      <c r="A91" s="17">
        <v>45913</v>
      </c>
      <c r="B91" s="11" t="s">
        <v>414</v>
      </c>
      <c r="C91" s="11" t="s">
        <v>419</v>
      </c>
      <c r="D91" s="11" t="s">
        <v>64</v>
      </c>
      <c r="E91" s="11">
        <v>3</v>
      </c>
      <c r="F91" s="11">
        <v>10420</v>
      </c>
    </row>
    <row r="92" spans="1:6" x14ac:dyDescent="0.3">
      <c r="A92" s="17">
        <v>45916</v>
      </c>
      <c r="B92" s="11" t="s">
        <v>418</v>
      </c>
      <c r="C92" s="11" t="s">
        <v>419</v>
      </c>
      <c r="D92" s="11" t="s">
        <v>43</v>
      </c>
      <c r="E92" s="11">
        <v>2</v>
      </c>
      <c r="F92" s="11">
        <v>9282</v>
      </c>
    </row>
    <row r="93" spans="1:6" x14ac:dyDescent="0.3">
      <c r="A93" s="17">
        <v>45919</v>
      </c>
      <c r="B93" s="11" t="s">
        <v>414</v>
      </c>
      <c r="C93" s="11" t="s">
        <v>415</v>
      </c>
      <c r="D93" s="11" t="s">
        <v>85</v>
      </c>
      <c r="E93" s="11">
        <v>11</v>
      </c>
      <c r="F93" s="11">
        <v>603439</v>
      </c>
    </row>
    <row r="94" spans="1:6" x14ac:dyDescent="0.3">
      <c r="A94" s="17">
        <v>45922</v>
      </c>
      <c r="B94" s="11" t="s">
        <v>412</v>
      </c>
      <c r="C94" s="11" t="s">
        <v>421</v>
      </c>
      <c r="D94" s="11" t="s">
        <v>85</v>
      </c>
      <c r="E94" s="11">
        <v>5</v>
      </c>
      <c r="F94" s="11">
        <v>108697</v>
      </c>
    </row>
    <row r="95" spans="1:6" x14ac:dyDescent="0.3">
      <c r="A95" s="17">
        <v>45925</v>
      </c>
      <c r="B95" s="11" t="s">
        <v>412</v>
      </c>
      <c r="C95" s="11" t="s">
        <v>415</v>
      </c>
      <c r="D95" s="11" t="s">
        <v>81</v>
      </c>
      <c r="E95" s="11">
        <v>7</v>
      </c>
      <c r="F95" s="11">
        <v>387966</v>
      </c>
    </row>
    <row r="96" spans="1:6" x14ac:dyDescent="0.3">
      <c r="A96" s="17">
        <v>45928</v>
      </c>
      <c r="B96" s="11" t="s">
        <v>412</v>
      </c>
      <c r="C96" s="11" t="s">
        <v>420</v>
      </c>
      <c r="D96" s="11" t="s">
        <v>70</v>
      </c>
      <c r="E96" s="11">
        <v>8</v>
      </c>
      <c r="F96" s="11">
        <v>97626</v>
      </c>
    </row>
    <row r="97" spans="1:6" x14ac:dyDescent="0.3">
      <c r="A97" s="17">
        <v>45931</v>
      </c>
      <c r="B97" s="11" t="s">
        <v>418</v>
      </c>
      <c r="C97" s="11" t="s">
        <v>420</v>
      </c>
      <c r="D97" s="11" t="s">
        <v>72</v>
      </c>
      <c r="E97" s="11">
        <v>5</v>
      </c>
      <c r="F97" s="11">
        <v>62658</v>
      </c>
    </row>
    <row r="98" spans="1:6" x14ac:dyDescent="0.3">
      <c r="A98" s="17">
        <v>45934</v>
      </c>
      <c r="B98" s="11" t="s">
        <v>416</v>
      </c>
      <c r="C98" s="11" t="s">
        <v>420</v>
      </c>
      <c r="D98" s="11" t="s">
        <v>95</v>
      </c>
      <c r="E98" s="11">
        <v>2</v>
      </c>
      <c r="F98" s="11">
        <v>23702</v>
      </c>
    </row>
    <row r="99" spans="1:6" x14ac:dyDescent="0.3">
      <c r="A99" s="17">
        <v>45937</v>
      </c>
      <c r="B99" s="11" t="s">
        <v>412</v>
      </c>
      <c r="C99" s="11" t="s">
        <v>413</v>
      </c>
      <c r="D99" s="11" t="s">
        <v>91</v>
      </c>
      <c r="E99" s="11">
        <v>2</v>
      </c>
      <c r="F99" s="11">
        <v>59286</v>
      </c>
    </row>
    <row r="100" spans="1:6" x14ac:dyDescent="0.3">
      <c r="A100" s="17">
        <v>45940</v>
      </c>
      <c r="B100" s="11" t="s">
        <v>412</v>
      </c>
      <c r="C100" s="11" t="s">
        <v>421</v>
      </c>
      <c r="D100" s="11" t="s">
        <v>81</v>
      </c>
      <c r="E100" s="11">
        <v>2</v>
      </c>
      <c r="F100" s="11">
        <v>43282</v>
      </c>
    </row>
    <row r="101" spans="1:6" x14ac:dyDescent="0.3">
      <c r="A101" s="17">
        <v>45943</v>
      </c>
      <c r="B101" s="11" t="s">
        <v>416</v>
      </c>
      <c r="C101" s="11" t="s">
        <v>419</v>
      </c>
      <c r="D101" s="11" t="s">
        <v>75</v>
      </c>
      <c r="E101" s="11">
        <v>12</v>
      </c>
      <c r="F101" s="11">
        <v>50864</v>
      </c>
    </row>
    <row r="102" spans="1:6" x14ac:dyDescent="0.3">
      <c r="A102" s="17">
        <v>45946</v>
      </c>
      <c r="B102" s="11" t="s">
        <v>414</v>
      </c>
      <c r="C102" s="11" t="s">
        <v>413</v>
      </c>
      <c r="D102" s="11" t="s">
        <v>36</v>
      </c>
      <c r="E102" s="11">
        <v>4</v>
      </c>
      <c r="F102" s="11">
        <v>120360</v>
      </c>
    </row>
    <row r="103" spans="1:6" x14ac:dyDescent="0.3">
      <c r="A103" s="17">
        <v>45949</v>
      </c>
      <c r="B103" s="11" t="s">
        <v>418</v>
      </c>
      <c r="C103" s="11" t="s">
        <v>417</v>
      </c>
      <c r="D103" s="11" t="s">
        <v>75</v>
      </c>
      <c r="E103" s="11">
        <v>2</v>
      </c>
      <c r="F103" s="11">
        <v>4912</v>
      </c>
    </row>
    <row r="104" spans="1:6" x14ac:dyDescent="0.3">
      <c r="A104" s="17">
        <v>45952</v>
      </c>
      <c r="B104" s="11" t="s">
        <v>418</v>
      </c>
      <c r="C104" s="11" t="s">
        <v>417</v>
      </c>
      <c r="D104" s="11" t="s">
        <v>85</v>
      </c>
      <c r="E104" s="11">
        <v>11</v>
      </c>
      <c r="F104" s="11">
        <v>27120</v>
      </c>
    </row>
    <row r="105" spans="1:6" x14ac:dyDescent="0.3">
      <c r="A105" s="17">
        <v>45955</v>
      </c>
      <c r="B105" s="11" t="s">
        <v>414</v>
      </c>
      <c r="C105" s="11" t="s">
        <v>415</v>
      </c>
      <c r="D105" s="11" t="s">
        <v>81</v>
      </c>
      <c r="E105" s="11">
        <v>4</v>
      </c>
      <c r="F105" s="11">
        <v>219220</v>
      </c>
    </row>
    <row r="108" spans="1:6" x14ac:dyDescent="0.3">
      <c r="A108" s="10" t="s">
        <v>148</v>
      </c>
      <c r="B108" s="10" t="s">
        <v>149</v>
      </c>
      <c r="C108" s="10" t="s">
        <v>150</v>
      </c>
      <c r="D108" s="10" t="s">
        <v>151</v>
      </c>
      <c r="E108" s="10" t="s">
        <v>152</v>
      </c>
      <c r="F108" s="10" t="s">
        <v>153</v>
      </c>
    </row>
    <row r="109" spans="1:6" ht="28.8" x14ac:dyDescent="0.3">
      <c r="A109" s="11">
        <v>1</v>
      </c>
      <c r="B109" s="11" t="s">
        <v>465</v>
      </c>
      <c r="C109" s="12" t="s">
        <v>3</v>
      </c>
      <c r="D109" s="11" t="s">
        <v>466</v>
      </c>
      <c r="E109" s="11"/>
      <c r="F109" s="11" t="s">
        <v>467</v>
      </c>
    </row>
    <row r="110" spans="1:6" ht="28.8" x14ac:dyDescent="0.3">
      <c r="A110" s="11">
        <v>2</v>
      </c>
      <c r="B110" s="11" t="s">
        <v>468</v>
      </c>
      <c r="C110" s="12" t="s">
        <v>3</v>
      </c>
      <c r="D110" s="11" t="s">
        <v>469</v>
      </c>
      <c r="E110" s="11"/>
      <c r="F110" s="11" t="s">
        <v>467</v>
      </c>
    </row>
    <row r="111" spans="1:6" ht="28.8" x14ac:dyDescent="0.3">
      <c r="A111" s="11">
        <v>3</v>
      </c>
      <c r="B111" s="11" t="s">
        <v>470</v>
      </c>
      <c r="C111" s="12" t="s">
        <v>3</v>
      </c>
      <c r="D111" s="11" t="s">
        <v>471</v>
      </c>
      <c r="E111" s="11" t="e">
        <f>Pivot filter North</f>
        <v>#NAME?</v>
      </c>
      <c r="F111" s="11" t="s">
        <v>467</v>
      </c>
    </row>
    <row r="112" spans="1:6" ht="28.8" x14ac:dyDescent="0.3">
      <c r="A112" s="11">
        <v>4</v>
      </c>
      <c r="B112" s="11" t="s">
        <v>472</v>
      </c>
      <c r="C112" s="13" t="s">
        <v>4</v>
      </c>
      <c r="D112" s="11" t="s">
        <v>473</v>
      </c>
      <c r="E112" s="11" t="e">
        <f>Report Connections</f>
        <v>#NAME?</v>
      </c>
      <c r="F112" s="11" t="s">
        <v>467</v>
      </c>
    </row>
    <row r="113" spans="1:12" ht="57.6" x14ac:dyDescent="0.3">
      <c r="A113" s="11">
        <v>5</v>
      </c>
      <c r="B113" s="11" t="s">
        <v>474</v>
      </c>
      <c r="C113" s="13" t="s">
        <v>4</v>
      </c>
      <c r="D113" s="11" t="s">
        <v>475</v>
      </c>
      <c r="E113" s="11" t="e">
        <f>Multiple slicers</f>
        <v>#NAME?</v>
      </c>
      <c r="F113" s="11" t="s">
        <v>467</v>
      </c>
    </row>
    <row r="114" spans="1:12" ht="28.8" x14ac:dyDescent="0.3">
      <c r="A114" s="11">
        <v>6</v>
      </c>
      <c r="B114" s="11" t="s">
        <v>476</v>
      </c>
      <c r="C114" s="13" t="s">
        <v>4</v>
      </c>
      <c r="D114" s="11" t="s">
        <v>477</v>
      </c>
      <c r="E114" s="11" t="e">
        <f>region + product filter</f>
        <v>#NAME?</v>
      </c>
      <c r="F114" s="11" t="s">
        <v>467</v>
      </c>
    </row>
    <row r="115" spans="1:12" ht="57.6" x14ac:dyDescent="0.3">
      <c r="A115" s="11">
        <v>7</v>
      </c>
      <c r="B115" s="11" t="s">
        <v>478</v>
      </c>
      <c r="C115" s="14" t="s">
        <v>5</v>
      </c>
      <c r="D115" s="11" t="s">
        <v>479</v>
      </c>
      <c r="E115" s="11" t="e">
        <f>Connected interactive Report</f>
        <v>#NAME?</v>
      </c>
      <c r="F115" s="11" t="s">
        <v>467</v>
      </c>
    </row>
    <row r="116" spans="1:12" ht="43.2" x14ac:dyDescent="0.3">
      <c r="A116" s="11">
        <v>8</v>
      </c>
      <c r="B116" s="11" t="s">
        <v>480</v>
      </c>
      <c r="C116" s="14" t="s">
        <v>5</v>
      </c>
      <c r="D116" s="11" t="s">
        <v>481</v>
      </c>
      <c r="E116" s="11" t="e">
        <f>Month Slicer</f>
        <v>#NAME?</v>
      </c>
      <c r="F116" s="11" t="s">
        <v>467</v>
      </c>
    </row>
    <row r="117" spans="1:12" ht="43.2" x14ac:dyDescent="0.3">
      <c r="A117" s="11">
        <v>9</v>
      </c>
      <c r="B117" s="11" t="s">
        <v>482</v>
      </c>
      <c r="C117" s="14" t="s">
        <v>5</v>
      </c>
      <c r="D117" s="11" t="s">
        <v>483</v>
      </c>
      <c r="E117" s="11" t="e">
        <f>Slicer usability demo</f>
        <v>#NAME?</v>
      </c>
      <c r="F117" s="11" t="s">
        <v>467</v>
      </c>
    </row>
    <row r="118" spans="1:12" ht="43.2" x14ac:dyDescent="0.3">
      <c r="A118" s="11">
        <v>10</v>
      </c>
      <c r="B118" s="11" t="s">
        <v>484</v>
      </c>
      <c r="C118" s="15" t="s">
        <v>6</v>
      </c>
      <c r="D118" s="11" t="s">
        <v>485</v>
      </c>
      <c r="E118" s="11" t="e">
        <f>region, product, Month slicers</f>
        <v>#NAME?</v>
      </c>
      <c r="F118" s="11" t="s">
        <v>467</v>
      </c>
    </row>
    <row r="120" spans="1:12" x14ac:dyDescent="0.3">
      <c r="A120" s="43" t="s">
        <v>568</v>
      </c>
      <c r="B120" s="43"/>
      <c r="E120" s="49" t="s">
        <v>570</v>
      </c>
      <c r="F120" s="49"/>
      <c r="G120" s="49"/>
      <c r="H120" s="49"/>
    </row>
    <row r="121" spans="1:12" x14ac:dyDescent="0.3">
      <c r="A121" s="43" t="s">
        <v>533</v>
      </c>
      <c r="B121" s="43" t="s">
        <v>532</v>
      </c>
      <c r="C121" s="46" t="s">
        <v>569</v>
      </c>
      <c r="D121" s="46"/>
      <c r="E121" s="49" t="s">
        <v>533</v>
      </c>
      <c r="F121" s="49" t="s">
        <v>532</v>
      </c>
      <c r="G121" s="49"/>
      <c r="H121" s="49"/>
      <c r="I121" s="52"/>
      <c r="J121" s="52"/>
      <c r="K121" s="52"/>
      <c r="L121" s="52"/>
    </row>
    <row r="122" spans="1:12" x14ac:dyDescent="0.3">
      <c r="A122" s="44" t="s">
        <v>416</v>
      </c>
      <c r="B122" s="45">
        <v>1389769</v>
      </c>
      <c r="C122" s="46" t="s">
        <v>533</v>
      </c>
      <c r="D122" s="46" t="s">
        <v>532</v>
      </c>
      <c r="E122" s="50" t="s">
        <v>416</v>
      </c>
      <c r="F122" s="51">
        <v>1389769</v>
      </c>
      <c r="G122" s="49"/>
      <c r="H122" s="49"/>
      <c r="I122" s="52" t="s">
        <v>571</v>
      </c>
      <c r="J122" s="52"/>
      <c r="K122" s="52"/>
      <c r="L122" s="52"/>
    </row>
    <row r="123" spans="1:12" x14ac:dyDescent="0.3">
      <c r="A123" s="44" t="s">
        <v>534</v>
      </c>
      <c r="B123" s="45">
        <v>1389769</v>
      </c>
      <c r="C123" s="47" t="s">
        <v>419</v>
      </c>
      <c r="D123" s="48">
        <v>665987</v>
      </c>
      <c r="E123" s="50" t="s">
        <v>534</v>
      </c>
      <c r="F123" s="51">
        <v>1389769</v>
      </c>
      <c r="G123" s="49"/>
      <c r="H123" s="49"/>
      <c r="I123" s="52"/>
      <c r="J123" s="52"/>
      <c r="K123" s="52"/>
      <c r="L123" s="52"/>
    </row>
    <row r="124" spans="1:12" x14ac:dyDescent="0.3">
      <c r="A124" s="43"/>
      <c r="B124" s="43"/>
      <c r="C124" s="47" t="s">
        <v>417</v>
      </c>
      <c r="D124" s="48">
        <v>327841</v>
      </c>
      <c r="E124" s="49"/>
      <c r="F124" s="49"/>
      <c r="G124" s="49"/>
      <c r="H124" s="49"/>
      <c r="I124" s="52"/>
      <c r="J124" s="52"/>
      <c r="K124" s="52"/>
      <c r="L124" s="52"/>
    </row>
    <row r="125" spans="1:12" x14ac:dyDescent="0.3">
      <c r="A125" s="43"/>
      <c r="B125" s="43"/>
      <c r="C125" s="47" t="s">
        <v>415</v>
      </c>
      <c r="D125" s="48">
        <v>5558838</v>
      </c>
      <c r="E125" s="49"/>
      <c r="F125" s="49"/>
      <c r="G125" s="49"/>
      <c r="H125" s="49"/>
      <c r="I125" s="52"/>
      <c r="J125" s="52"/>
      <c r="K125" s="52"/>
      <c r="L125" s="52"/>
    </row>
    <row r="126" spans="1:12" x14ac:dyDescent="0.3">
      <c r="A126" s="43"/>
      <c r="B126" s="43"/>
      <c r="C126" s="47" t="s">
        <v>421</v>
      </c>
      <c r="D126" s="48">
        <v>1943801</v>
      </c>
      <c r="E126" s="49"/>
      <c r="F126" s="49"/>
      <c r="G126" s="49"/>
      <c r="H126" s="49"/>
      <c r="I126" s="52"/>
      <c r="J126" s="52"/>
      <c r="K126" s="52"/>
      <c r="L126" s="52"/>
    </row>
    <row r="127" spans="1:12" x14ac:dyDescent="0.3">
      <c r="A127" s="43"/>
      <c r="B127" s="43"/>
      <c r="C127" s="47" t="s">
        <v>420</v>
      </c>
      <c r="D127" s="48">
        <v>829400</v>
      </c>
      <c r="E127" s="49"/>
      <c r="F127" s="49"/>
      <c r="G127" s="49"/>
      <c r="H127" s="49"/>
      <c r="I127" s="52"/>
      <c r="J127" s="52"/>
      <c r="K127" s="52"/>
      <c r="L127" s="52"/>
    </row>
    <row r="128" spans="1:12" x14ac:dyDescent="0.3">
      <c r="A128" s="43"/>
      <c r="B128" s="43"/>
      <c r="C128" s="47" t="s">
        <v>413</v>
      </c>
      <c r="D128" s="48">
        <v>2519028</v>
      </c>
      <c r="E128" s="49"/>
      <c r="F128" s="49"/>
      <c r="G128" s="49"/>
      <c r="H128" s="49"/>
      <c r="I128" s="52"/>
      <c r="J128" s="52"/>
      <c r="K128" s="52"/>
      <c r="L128" s="52"/>
    </row>
    <row r="129" spans="1:14" x14ac:dyDescent="0.3">
      <c r="A129" s="43"/>
      <c r="B129" s="43"/>
      <c r="C129" s="47" t="s">
        <v>534</v>
      </c>
      <c r="D129" s="48">
        <v>11844895</v>
      </c>
      <c r="E129" s="49"/>
      <c r="F129" s="49"/>
      <c r="G129" s="49"/>
      <c r="H129" s="49"/>
      <c r="I129" s="52"/>
      <c r="J129" s="52"/>
      <c r="K129" s="52"/>
      <c r="L129" s="52"/>
    </row>
    <row r="130" spans="1:14" x14ac:dyDescent="0.3">
      <c r="A130" s="43"/>
      <c r="B130" s="43"/>
      <c r="C130" s="46"/>
      <c r="D130" s="46"/>
      <c r="E130" s="49"/>
      <c r="F130" s="49"/>
      <c r="G130" s="49"/>
      <c r="H130" s="49"/>
      <c r="I130" s="52"/>
      <c r="J130" s="52"/>
      <c r="K130" s="52"/>
      <c r="L130" s="52"/>
    </row>
    <row r="131" spans="1:14" x14ac:dyDescent="0.3">
      <c r="A131" s="43"/>
      <c r="B131" s="43"/>
      <c r="C131" s="46"/>
      <c r="D131" s="46"/>
      <c r="E131" s="49"/>
      <c r="F131" s="49"/>
      <c r="G131" s="49"/>
      <c r="H131" s="49"/>
      <c r="I131" s="52"/>
      <c r="J131" s="52"/>
      <c r="K131" s="52"/>
      <c r="L131" s="52"/>
    </row>
    <row r="132" spans="1:14" x14ac:dyDescent="0.3">
      <c r="A132" s="43"/>
      <c r="B132" s="43"/>
      <c r="C132" s="46"/>
      <c r="D132" s="46"/>
      <c r="E132" s="49"/>
      <c r="F132" s="49"/>
      <c r="G132" s="49"/>
      <c r="H132" s="49"/>
      <c r="I132" s="52"/>
      <c r="J132" s="52"/>
      <c r="K132" s="52"/>
      <c r="L132" s="52"/>
    </row>
    <row r="133" spans="1:14" x14ac:dyDescent="0.3">
      <c r="A133" s="43"/>
      <c r="B133" s="43"/>
      <c r="C133" s="46"/>
      <c r="D133" s="46"/>
      <c r="E133" s="49"/>
      <c r="F133" s="49"/>
      <c r="G133" s="49"/>
      <c r="H133" s="49"/>
      <c r="I133" s="52"/>
      <c r="J133" s="52"/>
      <c r="K133" s="52"/>
      <c r="L133" s="52"/>
    </row>
    <row r="134" spans="1:14" x14ac:dyDescent="0.3">
      <c r="A134" s="43"/>
      <c r="B134" s="43"/>
      <c r="C134" s="46"/>
      <c r="D134" s="46"/>
      <c r="E134" s="49"/>
      <c r="F134" s="49"/>
      <c r="G134" s="49"/>
      <c r="H134" s="49"/>
      <c r="I134" s="52"/>
      <c r="J134" s="52"/>
      <c r="K134" s="52"/>
      <c r="L134" s="52"/>
    </row>
    <row r="135" spans="1:14" x14ac:dyDescent="0.3">
      <c r="A135" s="43"/>
      <c r="B135" s="43"/>
      <c r="C135" s="46"/>
      <c r="D135" s="46"/>
      <c r="E135" s="49"/>
      <c r="F135" s="49"/>
      <c r="G135" s="49"/>
      <c r="H135" s="49"/>
      <c r="I135" s="52"/>
      <c r="J135" s="52"/>
      <c r="K135" s="52"/>
      <c r="L135" s="52"/>
    </row>
    <row r="136" spans="1:14" x14ac:dyDescent="0.3">
      <c r="A136" s="43"/>
      <c r="B136" s="43"/>
      <c r="C136" s="46"/>
      <c r="D136" s="46"/>
      <c r="E136" s="49"/>
      <c r="F136" s="49"/>
      <c r="G136" s="49"/>
      <c r="H136" s="49"/>
      <c r="I136" s="52"/>
      <c r="J136" s="52"/>
      <c r="K136" s="52"/>
      <c r="L136" s="52"/>
    </row>
    <row r="137" spans="1:14" x14ac:dyDescent="0.3">
      <c r="A137" s="43"/>
      <c r="B137" s="43"/>
      <c r="C137" s="46"/>
      <c r="D137" s="46"/>
      <c r="E137" s="49"/>
      <c r="F137" s="49"/>
      <c r="G137" s="49"/>
      <c r="H137" s="49"/>
      <c r="I137" s="52"/>
      <c r="J137" s="52"/>
      <c r="K137" s="52"/>
      <c r="L137" s="52"/>
    </row>
    <row r="138" spans="1:14" x14ac:dyDescent="0.3">
      <c r="A138" s="43"/>
      <c r="B138" s="43"/>
      <c r="C138" s="46"/>
      <c r="D138" s="46"/>
      <c r="E138" s="49"/>
      <c r="F138" s="49"/>
      <c r="G138" s="49"/>
      <c r="H138" s="49"/>
      <c r="I138" s="52"/>
      <c r="J138" s="52"/>
      <c r="K138" s="52"/>
      <c r="L138" s="52"/>
    </row>
    <row r="139" spans="1:14" x14ac:dyDescent="0.3">
      <c r="A139" s="43"/>
      <c r="B139" s="43"/>
      <c r="C139" s="46"/>
      <c r="D139" s="46"/>
      <c r="E139" s="49"/>
      <c r="F139" s="49"/>
      <c r="G139" s="49"/>
      <c r="H139" s="49"/>
      <c r="I139" s="52"/>
      <c r="J139" s="52"/>
      <c r="K139" s="52"/>
      <c r="L139" s="52"/>
    </row>
    <row r="140" spans="1:14" x14ac:dyDescent="0.3">
      <c r="A140" s="43"/>
      <c r="B140" s="43"/>
      <c r="C140" s="46"/>
      <c r="D140" s="46"/>
    </row>
    <row r="141" spans="1:14" x14ac:dyDescent="0.3">
      <c r="A141" s="43"/>
      <c r="B141" s="43"/>
      <c r="C141" s="46"/>
      <c r="D141" s="46"/>
    </row>
    <row r="142" spans="1:14" x14ac:dyDescent="0.3">
      <c r="A142" s="43"/>
      <c r="B142" s="43"/>
      <c r="C142" s="46"/>
      <c r="D142" s="46"/>
      <c r="E142" s="57" t="s">
        <v>574</v>
      </c>
      <c r="F142" s="57"/>
      <c r="G142" s="57"/>
      <c r="H142" s="57"/>
      <c r="I142" s="57"/>
      <c r="J142" s="57"/>
      <c r="K142" s="57"/>
      <c r="L142" s="57"/>
      <c r="M142" s="57"/>
      <c r="N142" s="57"/>
    </row>
    <row r="143" spans="1:14" x14ac:dyDescent="0.3">
      <c r="A143" s="43"/>
      <c r="B143" s="43"/>
      <c r="C143" s="46"/>
      <c r="D143" s="46"/>
      <c r="E143" s="57"/>
      <c r="F143" s="57"/>
      <c r="G143" s="57"/>
      <c r="H143" s="57"/>
      <c r="I143" s="57"/>
      <c r="J143" s="57"/>
      <c r="K143" s="57"/>
      <c r="L143" s="57"/>
      <c r="M143" s="57"/>
      <c r="N143" s="57"/>
    </row>
    <row r="144" spans="1:14" x14ac:dyDescent="0.3">
      <c r="E144" s="57" t="s">
        <v>533</v>
      </c>
      <c r="F144" s="57" t="s">
        <v>532</v>
      </c>
      <c r="G144" s="57"/>
      <c r="H144" s="57"/>
      <c r="I144" s="57" t="s">
        <v>533</v>
      </c>
      <c r="J144" s="57" t="s">
        <v>532</v>
      </c>
      <c r="K144" s="57"/>
      <c r="L144" s="57" t="s">
        <v>533</v>
      </c>
      <c r="M144" s="57" t="s">
        <v>532</v>
      </c>
      <c r="N144" s="57"/>
    </row>
    <row r="145" spans="1:14" x14ac:dyDescent="0.3">
      <c r="E145" s="58" t="s">
        <v>412</v>
      </c>
      <c r="F145" s="59">
        <v>3929486</v>
      </c>
      <c r="G145" s="57"/>
      <c r="H145" s="57"/>
      <c r="I145" s="58" t="s">
        <v>419</v>
      </c>
      <c r="J145" s="59">
        <v>150695</v>
      </c>
      <c r="K145" s="57"/>
      <c r="L145" s="58" t="s">
        <v>535</v>
      </c>
      <c r="M145" s="59">
        <v>358885</v>
      </c>
      <c r="N145" s="57"/>
    </row>
    <row r="146" spans="1:14" x14ac:dyDescent="0.3">
      <c r="A146" s="53" t="s">
        <v>572</v>
      </c>
      <c r="B146" s="53"/>
      <c r="C146" s="53"/>
      <c r="E146" s="58" t="s">
        <v>534</v>
      </c>
      <c r="F146" s="59">
        <v>3929486</v>
      </c>
      <c r="G146" s="57"/>
      <c r="H146" s="57"/>
      <c r="I146" s="58" t="s">
        <v>417</v>
      </c>
      <c r="J146" s="59">
        <v>25829</v>
      </c>
      <c r="K146" s="57"/>
      <c r="L146" s="58" t="s">
        <v>537</v>
      </c>
      <c r="M146" s="59">
        <v>22005</v>
      </c>
      <c r="N146" s="57"/>
    </row>
    <row r="147" spans="1:14" x14ac:dyDescent="0.3">
      <c r="A147" s="53" t="s">
        <v>573</v>
      </c>
      <c r="B147" s="53"/>
      <c r="C147" s="53"/>
      <c r="E147" s="57"/>
      <c r="F147" s="57"/>
      <c r="G147" s="57"/>
      <c r="H147" s="57"/>
      <c r="I147" s="58" t="s">
        <v>415</v>
      </c>
      <c r="J147" s="59">
        <v>1819346</v>
      </c>
      <c r="K147" s="57"/>
      <c r="L147" s="58" t="s">
        <v>538</v>
      </c>
      <c r="M147" s="59">
        <v>648961</v>
      </c>
      <c r="N147" s="57"/>
    </row>
    <row r="148" spans="1:14" x14ac:dyDescent="0.3">
      <c r="A148" s="53" t="s">
        <v>533</v>
      </c>
      <c r="B148" s="53" t="s">
        <v>532</v>
      </c>
      <c r="C148" s="53"/>
      <c r="E148" s="57"/>
      <c r="F148" s="57"/>
      <c r="G148" s="57"/>
      <c r="H148" s="57"/>
      <c r="I148" s="58" t="s">
        <v>421</v>
      </c>
      <c r="J148" s="59">
        <v>944138</v>
      </c>
      <c r="K148" s="57"/>
      <c r="L148" s="58" t="s">
        <v>539</v>
      </c>
      <c r="M148" s="59">
        <v>500560</v>
      </c>
      <c r="N148" s="57"/>
    </row>
    <row r="149" spans="1:14" x14ac:dyDescent="0.3">
      <c r="A149" s="54" t="s">
        <v>415</v>
      </c>
      <c r="B149" s="55">
        <v>1819346</v>
      </c>
      <c r="C149" s="53"/>
      <c r="E149" s="57"/>
      <c r="F149" s="57"/>
      <c r="G149" s="57"/>
      <c r="H149" s="57"/>
      <c r="I149" s="58" t="s">
        <v>420</v>
      </c>
      <c r="J149" s="59">
        <v>240564</v>
      </c>
      <c r="K149" s="57"/>
      <c r="L149" s="58" t="s">
        <v>540</v>
      </c>
      <c r="M149" s="59">
        <v>1363095</v>
      </c>
      <c r="N149" s="57"/>
    </row>
    <row r="150" spans="1:14" x14ac:dyDescent="0.3">
      <c r="A150" s="56" t="s">
        <v>412</v>
      </c>
      <c r="B150" s="55">
        <v>1819346</v>
      </c>
      <c r="C150" s="53"/>
      <c r="E150" s="57"/>
      <c r="F150" s="57"/>
      <c r="G150" s="57"/>
      <c r="H150" s="57"/>
      <c r="I150" s="58" t="s">
        <v>413</v>
      </c>
      <c r="J150" s="59">
        <v>748914</v>
      </c>
      <c r="K150" s="57"/>
      <c r="L150" s="58" t="s">
        <v>541</v>
      </c>
      <c r="M150" s="59">
        <v>24116</v>
      </c>
      <c r="N150" s="57"/>
    </row>
    <row r="151" spans="1:14" x14ac:dyDescent="0.3">
      <c r="A151" s="54" t="s">
        <v>534</v>
      </c>
      <c r="B151" s="55">
        <v>1819346</v>
      </c>
      <c r="C151" s="53"/>
      <c r="E151" s="57"/>
      <c r="F151" s="57"/>
      <c r="G151" s="57"/>
      <c r="H151" s="57"/>
      <c r="I151" s="58" t="s">
        <v>534</v>
      </c>
      <c r="J151" s="59">
        <v>3929486</v>
      </c>
      <c r="K151" s="57"/>
      <c r="L151" s="58" t="s">
        <v>542</v>
      </c>
      <c r="M151" s="59">
        <v>282474</v>
      </c>
      <c r="N151" s="57"/>
    </row>
    <row r="152" spans="1:14" x14ac:dyDescent="0.3">
      <c r="A152" s="53"/>
      <c r="B152" s="53"/>
      <c r="C152" s="53"/>
      <c r="E152" s="57"/>
      <c r="F152" s="57"/>
      <c r="G152" s="57"/>
      <c r="H152" s="57"/>
      <c r="I152" s="57"/>
      <c r="J152" s="57"/>
      <c r="K152" s="57"/>
      <c r="L152" s="58" t="s">
        <v>543</v>
      </c>
      <c r="M152" s="59">
        <v>626822</v>
      </c>
      <c r="N152" s="57"/>
    </row>
    <row r="153" spans="1:14" x14ac:dyDescent="0.3">
      <c r="A153" s="53"/>
      <c r="B153" s="53"/>
      <c r="C153" s="53"/>
      <c r="E153" s="57"/>
      <c r="F153" s="57"/>
      <c r="G153" s="57"/>
      <c r="H153" s="57"/>
      <c r="I153" s="57"/>
      <c r="J153" s="57"/>
      <c r="K153" s="57"/>
      <c r="L153" s="58" t="s">
        <v>544</v>
      </c>
      <c r="M153" s="59">
        <v>102568</v>
      </c>
      <c r="N153" s="57"/>
    </row>
    <row r="154" spans="1:14" x14ac:dyDescent="0.3">
      <c r="A154" s="53"/>
      <c r="B154" s="53"/>
      <c r="C154" s="53"/>
      <c r="E154" s="57"/>
      <c r="F154" s="57"/>
      <c r="G154" s="57"/>
      <c r="H154" s="57"/>
      <c r="I154" s="57"/>
      <c r="J154" s="57"/>
      <c r="K154" s="57"/>
      <c r="L154" s="58" t="s">
        <v>534</v>
      </c>
      <c r="M154" s="59">
        <v>3929486</v>
      </c>
      <c r="N154" s="57"/>
    </row>
    <row r="155" spans="1:14" x14ac:dyDescent="0.3">
      <c r="A155" s="53"/>
      <c r="B155" s="53"/>
      <c r="C155" s="53"/>
      <c r="E155" s="57"/>
      <c r="F155" s="57"/>
      <c r="G155" s="57"/>
      <c r="H155" s="57"/>
      <c r="I155" s="57"/>
      <c r="J155" s="57"/>
      <c r="K155" s="57"/>
      <c r="L155" s="57"/>
      <c r="M155" s="57"/>
      <c r="N155" s="57"/>
    </row>
    <row r="156" spans="1:14" x14ac:dyDescent="0.3">
      <c r="A156" s="53"/>
      <c r="B156" s="53"/>
      <c r="C156" s="53"/>
      <c r="E156" s="57"/>
      <c r="F156" s="57"/>
      <c r="G156" s="57"/>
      <c r="H156" s="57"/>
      <c r="I156" s="57"/>
      <c r="J156" s="57"/>
      <c r="K156" s="57"/>
      <c r="L156" s="57"/>
      <c r="M156" s="57"/>
      <c r="N156" s="57"/>
    </row>
    <row r="157" spans="1:14" x14ac:dyDescent="0.3">
      <c r="A157" s="53"/>
      <c r="B157" s="53"/>
      <c r="C157" s="53"/>
      <c r="E157" s="57"/>
      <c r="F157" s="57"/>
      <c r="G157" s="57"/>
      <c r="H157" s="57"/>
      <c r="I157" s="57"/>
      <c r="J157" s="57"/>
      <c r="K157" s="57"/>
      <c r="L157" s="57"/>
      <c r="M157" s="57"/>
      <c r="N157" s="57"/>
    </row>
    <row r="158" spans="1:14" x14ac:dyDescent="0.3">
      <c r="A158" s="53"/>
      <c r="B158" s="53"/>
      <c r="C158" s="53"/>
      <c r="E158" s="57"/>
      <c r="F158" s="57"/>
      <c r="G158" s="57"/>
      <c r="H158" s="57"/>
      <c r="I158" s="57"/>
      <c r="J158" s="57"/>
      <c r="K158" s="57"/>
      <c r="L158" s="57"/>
      <c r="M158" s="57"/>
      <c r="N158" s="57"/>
    </row>
    <row r="159" spans="1:14" x14ac:dyDescent="0.3">
      <c r="A159" s="53"/>
      <c r="B159" s="53"/>
      <c r="C159" s="53"/>
      <c r="E159" s="57"/>
      <c r="F159" s="57"/>
      <c r="G159" s="57"/>
      <c r="H159" s="57"/>
      <c r="I159" s="57"/>
      <c r="J159" s="57"/>
      <c r="K159" s="57"/>
      <c r="L159" s="57"/>
      <c r="M159" s="57"/>
      <c r="N159" s="57"/>
    </row>
    <row r="160" spans="1:14" x14ac:dyDescent="0.3">
      <c r="A160" s="53"/>
      <c r="B160" s="53"/>
      <c r="C160" s="53"/>
      <c r="E160" s="57"/>
      <c r="F160" s="57"/>
      <c r="G160" s="57"/>
      <c r="H160" s="57"/>
      <c r="I160" s="57"/>
      <c r="J160" s="57"/>
      <c r="K160" s="57"/>
      <c r="L160" s="57"/>
      <c r="M160" s="57"/>
      <c r="N160" s="57"/>
    </row>
    <row r="161" spans="1:14" x14ac:dyDescent="0.3">
      <c r="A161" s="53"/>
      <c r="B161" s="53"/>
      <c r="C161" s="53"/>
      <c r="E161" s="57"/>
      <c r="F161" s="57"/>
      <c r="G161" s="57"/>
      <c r="H161" s="57"/>
      <c r="I161" s="57"/>
      <c r="J161" s="57"/>
      <c r="K161" s="57"/>
      <c r="L161" s="57"/>
      <c r="M161" s="57"/>
      <c r="N161" s="57"/>
    </row>
    <row r="162" spans="1:14" x14ac:dyDescent="0.3">
      <c r="A162" s="53"/>
      <c r="B162" s="53"/>
      <c r="C162" s="53"/>
      <c r="E162" s="57"/>
      <c r="F162" s="57"/>
      <c r="G162" s="57"/>
      <c r="H162" s="57"/>
      <c r="I162" s="57"/>
      <c r="J162" s="57"/>
      <c r="K162" s="57"/>
      <c r="L162" s="57"/>
      <c r="M162" s="57"/>
      <c r="N162" s="57"/>
    </row>
    <row r="163" spans="1:14" x14ac:dyDescent="0.3">
      <c r="A163" s="53"/>
      <c r="B163" s="53"/>
      <c r="C163" s="53"/>
      <c r="E163" s="57"/>
      <c r="F163" s="57"/>
      <c r="G163" s="57"/>
      <c r="H163" s="57"/>
      <c r="I163" s="57"/>
      <c r="J163" s="57"/>
      <c r="K163" s="57"/>
      <c r="L163" s="57"/>
      <c r="M163" s="57"/>
      <c r="N163" s="57"/>
    </row>
    <row r="164" spans="1:14" x14ac:dyDescent="0.3">
      <c r="A164" s="53"/>
      <c r="B164" s="53"/>
      <c r="C164" s="53"/>
      <c r="E164" s="57"/>
      <c r="F164" s="57"/>
      <c r="G164" s="57"/>
      <c r="H164" s="57"/>
      <c r="I164" s="57"/>
      <c r="J164" s="57"/>
      <c r="K164" s="57"/>
      <c r="L164" s="57"/>
      <c r="M164" s="57"/>
      <c r="N164" s="57"/>
    </row>
    <row r="165" spans="1:14" x14ac:dyDescent="0.3">
      <c r="A165" s="53"/>
      <c r="B165" s="53"/>
      <c r="C165" s="53"/>
      <c r="E165" s="57"/>
      <c r="F165" s="57"/>
      <c r="G165" s="57"/>
      <c r="H165" s="57"/>
      <c r="I165" s="57"/>
      <c r="J165" s="57"/>
      <c r="K165" s="57"/>
      <c r="L165" s="57"/>
      <c r="M165" s="57"/>
      <c r="N165" s="57"/>
    </row>
    <row r="166" spans="1:14" x14ac:dyDescent="0.3">
      <c r="A166" s="53"/>
      <c r="B166" s="53"/>
      <c r="C166" s="53"/>
      <c r="E166" s="57"/>
      <c r="F166" s="57"/>
      <c r="G166" s="57"/>
      <c r="H166" s="57"/>
      <c r="I166" s="57"/>
      <c r="J166" s="57"/>
      <c r="K166" s="57"/>
      <c r="L166" s="57"/>
      <c r="M166" s="57"/>
      <c r="N166" s="57"/>
    </row>
    <row r="167" spans="1:14" x14ac:dyDescent="0.3">
      <c r="A167" s="53"/>
      <c r="B167" s="53"/>
      <c r="C167" s="53"/>
      <c r="E167" s="57"/>
      <c r="F167" s="57"/>
      <c r="G167" s="57"/>
      <c r="H167" s="57"/>
      <c r="I167" s="57"/>
      <c r="J167" s="57"/>
      <c r="K167" s="57"/>
      <c r="L167" s="57"/>
      <c r="M167" s="57"/>
      <c r="N167" s="57"/>
    </row>
    <row r="168" spans="1:14" x14ac:dyDescent="0.3">
      <c r="A168" s="53"/>
      <c r="B168" s="53"/>
      <c r="C168" s="53"/>
      <c r="E168" s="57"/>
      <c r="F168" s="57"/>
      <c r="G168" s="57"/>
      <c r="H168" s="57"/>
      <c r="I168" s="57"/>
      <c r="J168" s="57"/>
      <c r="K168" s="57"/>
      <c r="L168" s="57"/>
      <c r="M168" s="57"/>
      <c r="N168" s="57"/>
    </row>
    <row r="169" spans="1:14" x14ac:dyDescent="0.3">
      <c r="A169" s="53"/>
      <c r="B169" s="53"/>
      <c r="C169" s="53"/>
      <c r="E169" s="57"/>
      <c r="F169" s="57"/>
      <c r="G169" s="57"/>
      <c r="H169" s="57"/>
      <c r="I169" s="57"/>
      <c r="J169" s="57"/>
      <c r="K169" s="57"/>
      <c r="L169" s="57"/>
      <c r="M169" s="57"/>
      <c r="N169" s="57"/>
    </row>
    <row r="170" spans="1:14" x14ac:dyDescent="0.3">
      <c r="A170" s="53"/>
      <c r="B170" s="53"/>
      <c r="C170" s="53"/>
      <c r="E170" s="57"/>
      <c r="F170" s="57"/>
      <c r="G170" s="57"/>
      <c r="H170" s="57"/>
      <c r="I170" s="57"/>
      <c r="J170" s="57"/>
      <c r="K170" s="57"/>
      <c r="L170" s="57"/>
      <c r="M170" s="57"/>
      <c r="N170" s="57"/>
    </row>
    <row r="171" spans="1:14" x14ac:dyDescent="0.3">
      <c r="A171" s="53"/>
      <c r="B171" s="53"/>
      <c r="C171" s="53"/>
      <c r="E171" s="57"/>
      <c r="F171" s="57"/>
      <c r="G171" s="57"/>
      <c r="H171" s="57"/>
      <c r="I171" s="57"/>
      <c r="J171" s="57"/>
      <c r="K171" s="57"/>
      <c r="L171" s="57"/>
      <c r="M171" s="57"/>
      <c r="N171" s="57"/>
    </row>
    <row r="172" spans="1:14" x14ac:dyDescent="0.3">
      <c r="A172" s="53"/>
      <c r="B172" s="53"/>
      <c r="C172" s="53"/>
      <c r="E172" s="57"/>
      <c r="F172" s="57"/>
      <c r="G172" s="57"/>
      <c r="H172" s="57"/>
      <c r="I172" s="57"/>
      <c r="J172" s="57"/>
      <c r="K172" s="57"/>
      <c r="L172" s="57"/>
      <c r="M172" s="57"/>
      <c r="N172" s="57"/>
    </row>
    <row r="173" spans="1:14" x14ac:dyDescent="0.3">
      <c r="A173" s="53"/>
      <c r="B173" s="53"/>
      <c r="C173" s="53"/>
      <c r="E173" s="57"/>
      <c r="F173" s="57"/>
      <c r="G173" s="57"/>
      <c r="H173" s="57"/>
      <c r="I173" s="57"/>
      <c r="J173" s="57"/>
      <c r="K173" s="57"/>
      <c r="L173" s="57"/>
      <c r="M173" s="57"/>
      <c r="N173" s="57"/>
    </row>
    <row r="174" spans="1:14" x14ac:dyDescent="0.3">
      <c r="A174" s="53"/>
      <c r="B174" s="53"/>
      <c r="C174" s="53"/>
      <c r="E174" s="57"/>
      <c r="F174" s="57"/>
      <c r="G174" s="57"/>
      <c r="H174" s="57"/>
      <c r="I174" s="57"/>
      <c r="J174" s="57"/>
      <c r="K174" s="57"/>
      <c r="L174" s="57"/>
      <c r="M174" s="57"/>
      <c r="N174" s="57"/>
    </row>
    <row r="175" spans="1:14" x14ac:dyDescent="0.3">
      <c r="A175" s="53"/>
      <c r="B175" s="53"/>
      <c r="C175" s="53"/>
      <c r="E175" s="57"/>
      <c r="F175" s="57"/>
      <c r="G175" s="57"/>
      <c r="H175" s="57"/>
      <c r="I175" s="57"/>
      <c r="J175" s="57"/>
      <c r="K175" s="57"/>
      <c r="L175" s="57"/>
      <c r="M175" s="57"/>
      <c r="N175" s="57"/>
    </row>
    <row r="176" spans="1:14" x14ac:dyDescent="0.3">
      <c r="A176" s="53"/>
      <c r="B176" s="53"/>
      <c r="C176" s="53"/>
      <c r="E176" s="57"/>
      <c r="F176" s="57"/>
      <c r="G176" s="57"/>
      <c r="H176" s="57"/>
      <c r="I176" s="57"/>
      <c r="J176" s="57"/>
      <c r="K176" s="57"/>
      <c r="L176" s="57"/>
      <c r="M176" s="57"/>
      <c r="N176" s="57"/>
    </row>
    <row r="177" spans="1:15" x14ac:dyDescent="0.3">
      <c r="E177" s="57"/>
      <c r="F177" s="57"/>
      <c r="G177" s="57"/>
      <c r="H177" s="57"/>
      <c r="I177" s="57"/>
      <c r="J177" s="57"/>
      <c r="K177" s="57"/>
      <c r="L177" s="57"/>
      <c r="M177" s="57"/>
      <c r="N177" s="57"/>
    </row>
    <row r="179" spans="1:15" x14ac:dyDescent="0.3">
      <c r="A179" s="28" t="s">
        <v>575</v>
      </c>
      <c r="B179" s="28"/>
      <c r="D179" s="62" t="s">
        <v>576</v>
      </c>
      <c r="E179" s="62"/>
    </row>
    <row r="180" spans="1:15" x14ac:dyDescent="0.3">
      <c r="A180" s="28" t="s">
        <v>533</v>
      </c>
      <c r="B180" s="28" t="s">
        <v>532</v>
      </c>
      <c r="D180" s="62" t="s">
        <v>577</v>
      </c>
      <c r="E180" s="62"/>
      <c r="G180" s="53" t="s">
        <v>586</v>
      </c>
      <c r="H180" s="53"/>
      <c r="I180" s="53"/>
      <c r="J180" s="53"/>
      <c r="K180" s="53"/>
      <c r="L180" s="53"/>
      <c r="M180" s="53"/>
      <c r="N180" s="53"/>
      <c r="O180" s="53"/>
    </row>
    <row r="181" spans="1:15" x14ac:dyDescent="0.3">
      <c r="A181" s="60" t="s">
        <v>535</v>
      </c>
      <c r="B181" s="61">
        <v>358885</v>
      </c>
      <c r="D181" s="62" t="s">
        <v>578</v>
      </c>
      <c r="E181" s="62"/>
      <c r="G181" s="53" t="s">
        <v>533</v>
      </c>
      <c r="H181" s="53" t="s">
        <v>532</v>
      </c>
      <c r="I181" s="53"/>
      <c r="J181" s="53" t="s">
        <v>533</v>
      </c>
      <c r="K181" s="53" t="s">
        <v>532</v>
      </c>
      <c r="L181" s="53"/>
      <c r="M181" s="53" t="s">
        <v>533</v>
      </c>
      <c r="N181" s="53" t="s">
        <v>532</v>
      </c>
      <c r="O181" s="53"/>
    </row>
    <row r="182" spans="1:15" x14ac:dyDescent="0.3">
      <c r="A182" s="60" t="s">
        <v>537</v>
      </c>
      <c r="B182" s="61">
        <v>22005</v>
      </c>
      <c r="D182" s="62" t="s">
        <v>579</v>
      </c>
      <c r="E182" s="62"/>
      <c r="G182" s="54" t="s">
        <v>419</v>
      </c>
      <c r="H182" s="55">
        <v>665987</v>
      </c>
      <c r="I182" s="53"/>
      <c r="J182" s="54" t="s">
        <v>419</v>
      </c>
      <c r="K182" s="55">
        <v>665987</v>
      </c>
      <c r="L182" s="53"/>
      <c r="M182" s="54" t="s">
        <v>535</v>
      </c>
      <c r="N182" s="55">
        <v>2279565</v>
      </c>
      <c r="O182" s="53"/>
    </row>
    <row r="183" spans="1:15" x14ac:dyDescent="0.3">
      <c r="A183" s="60" t="s">
        <v>538</v>
      </c>
      <c r="B183" s="61">
        <v>648961</v>
      </c>
      <c r="D183" s="62" t="s">
        <v>580</v>
      </c>
      <c r="E183" s="62"/>
      <c r="G183" s="54" t="s">
        <v>417</v>
      </c>
      <c r="H183" s="55">
        <v>327841</v>
      </c>
      <c r="I183" s="53"/>
      <c r="J183" s="54" t="s">
        <v>417</v>
      </c>
      <c r="K183" s="55">
        <v>327841</v>
      </c>
      <c r="L183" s="53"/>
      <c r="M183" s="54" t="s">
        <v>536</v>
      </c>
      <c r="N183" s="55">
        <v>436468</v>
      </c>
      <c r="O183" s="53"/>
    </row>
    <row r="184" spans="1:15" x14ac:dyDescent="0.3">
      <c r="A184" s="60" t="s">
        <v>534</v>
      </c>
      <c r="B184" s="61">
        <v>1029851</v>
      </c>
      <c r="D184" s="62" t="s">
        <v>581</v>
      </c>
      <c r="E184" s="62"/>
      <c r="G184" s="54" t="s">
        <v>415</v>
      </c>
      <c r="H184" s="55">
        <v>5558838</v>
      </c>
      <c r="I184" s="53"/>
      <c r="J184" s="54" t="s">
        <v>415</v>
      </c>
      <c r="K184" s="55">
        <v>5558838</v>
      </c>
      <c r="L184" s="53"/>
      <c r="M184" s="54" t="s">
        <v>537</v>
      </c>
      <c r="N184" s="55">
        <v>839233</v>
      </c>
      <c r="O184" s="53"/>
    </row>
    <row r="185" spans="1:15" x14ac:dyDescent="0.3">
      <c r="A185" s="28"/>
      <c r="B185" s="28"/>
      <c r="D185" s="62"/>
      <c r="E185" s="62"/>
      <c r="G185" s="54" t="s">
        <v>421</v>
      </c>
      <c r="H185" s="55">
        <v>1943801</v>
      </c>
      <c r="I185" s="53"/>
      <c r="J185" s="54" t="s">
        <v>421</v>
      </c>
      <c r="K185" s="55">
        <v>1943801</v>
      </c>
      <c r="L185" s="53"/>
      <c r="M185" s="54" t="s">
        <v>538</v>
      </c>
      <c r="N185" s="55">
        <v>947184</v>
      </c>
      <c r="O185" s="53"/>
    </row>
    <row r="186" spans="1:15" x14ac:dyDescent="0.3">
      <c r="A186" s="28"/>
      <c r="B186" s="28"/>
      <c r="D186" s="62" t="s">
        <v>582</v>
      </c>
      <c r="E186" s="62"/>
      <c r="G186" s="54" t="s">
        <v>420</v>
      </c>
      <c r="H186" s="55">
        <v>829400</v>
      </c>
      <c r="I186" s="53"/>
      <c r="J186" s="54" t="s">
        <v>420</v>
      </c>
      <c r="K186" s="55">
        <v>829400</v>
      </c>
      <c r="L186" s="53"/>
      <c r="M186" s="54" t="s">
        <v>539</v>
      </c>
      <c r="N186" s="55">
        <v>943067</v>
      </c>
      <c r="O186" s="53"/>
    </row>
    <row r="187" spans="1:15" x14ac:dyDescent="0.3">
      <c r="A187" s="28"/>
      <c r="B187" s="28"/>
      <c r="D187" s="63"/>
      <c r="E187" s="62"/>
      <c r="G187" s="54" t="s">
        <v>413</v>
      </c>
      <c r="H187" s="55">
        <v>2519028</v>
      </c>
      <c r="I187" s="53"/>
      <c r="J187" s="54" t="s">
        <v>413</v>
      </c>
      <c r="K187" s="55">
        <v>2519028</v>
      </c>
      <c r="L187" s="53"/>
      <c r="M187" s="54" t="s">
        <v>540</v>
      </c>
      <c r="N187" s="55">
        <v>1566518</v>
      </c>
      <c r="O187" s="53"/>
    </row>
    <row r="188" spans="1:15" x14ac:dyDescent="0.3">
      <c r="A188" s="28"/>
      <c r="B188" s="28"/>
      <c r="D188" s="63" t="s">
        <v>583</v>
      </c>
      <c r="E188" s="62"/>
      <c r="G188" s="54" t="s">
        <v>534</v>
      </c>
      <c r="H188" s="55">
        <v>11844895</v>
      </c>
      <c r="I188" s="53"/>
      <c r="J188" s="54" t="s">
        <v>534</v>
      </c>
      <c r="K188" s="55">
        <v>11844895</v>
      </c>
      <c r="L188" s="53"/>
      <c r="M188" s="54" t="s">
        <v>541</v>
      </c>
      <c r="N188" s="55">
        <v>1815152</v>
      </c>
      <c r="O188" s="53"/>
    </row>
    <row r="189" spans="1:15" x14ac:dyDescent="0.3">
      <c r="A189" s="28"/>
      <c r="B189" s="28"/>
      <c r="D189" s="63" t="s">
        <v>584</v>
      </c>
      <c r="E189" s="62"/>
      <c r="G189" s="53"/>
      <c r="H189" s="53"/>
      <c r="I189" s="53"/>
      <c r="J189" s="53"/>
      <c r="K189" s="53"/>
      <c r="L189" s="53"/>
      <c r="M189" s="54" t="s">
        <v>542</v>
      </c>
      <c r="N189" s="55">
        <v>825600</v>
      </c>
      <c r="O189" s="53"/>
    </row>
    <row r="190" spans="1:15" x14ac:dyDescent="0.3">
      <c r="A190" s="28"/>
      <c r="B190" s="28"/>
      <c r="D190" s="63" t="s">
        <v>585</v>
      </c>
      <c r="E190" s="62"/>
      <c r="G190" s="53"/>
      <c r="H190" s="53"/>
      <c r="I190" s="53"/>
      <c r="J190" s="53"/>
      <c r="K190" s="53"/>
      <c r="L190" s="53"/>
      <c r="M190" s="54" t="s">
        <v>543</v>
      </c>
      <c r="N190" s="55">
        <v>1580704</v>
      </c>
      <c r="O190" s="53"/>
    </row>
    <row r="191" spans="1:15" x14ac:dyDescent="0.3">
      <c r="A191" s="28"/>
      <c r="B191" s="28"/>
      <c r="G191" s="53"/>
      <c r="H191" s="53"/>
      <c r="I191" s="53"/>
      <c r="J191" s="53"/>
      <c r="K191" s="53"/>
      <c r="L191" s="53"/>
      <c r="M191" s="54" t="s">
        <v>544</v>
      </c>
      <c r="N191" s="55">
        <v>611404</v>
      </c>
      <c r="O191" s="53"/>
    </row>
    <row r="192" spans="1:15" x14ac:dyDescent="0.3">
      <c r="A192" s="28"/>
      <c r="B192" s="28"/>
      <c r="G192" s="53"/>
      <c r="H192" s="53"/>
      <c r="I192" s="53"/>
      <c r="J192" s="53"/>
      <c r="K192" s="53"/>
      <c r="L192" s="53"/>
      <c r="M192" s="54" t="s">
        <v>534</v>
      </c>
      <c r="N192" s="55">
        <v>11844895</v>
      </c>
      <c r="O192" s="53"/>
    </row>
    <row r="193" spans="1:15" x14ac:dyDescent="0.3">
      <c r="A193" s="28"/>
      <c r="B193" s="28"/>
      <c r="G193" s="53"/>
      <c r="H193" s="53"/>
      <c r="I193" s="53"/>
      <c r="J193" s="53"/>
      <c r="K193" s="53"/>
      <c r="L193" s="53"/>
      <c r="M193" s="53"/>
      <c r="N193" s="53"/>
      <c r="O193" s="53"/>
    </row>
    <row r="194" spans="1:15" x14ac:dyDescent="0.3">
      <c r="A194" s="28"/>
      <c r="B194" s="28"/>
      <c r="G194" s="53"/>
      <c r="H194" s="53"/>
      <c r="I194" s="53"/>
      <c r="J194" s="53"/>
      <c r="K194" s="53"/>
      <c r="L194" s="53"/>
      <c r="M194" s="53"/>
      <c r="N194" s="53"/>
      <c r="O194" s="53"/>
    </row>
    <row r="195" spans="1:15" x14ac:dyDescent="0.3">
      <c r="A195" s="28"/>
      <c r="B195" s="28"/>
      <c r="G195" s="53"/>
      <c r="H195" s="53"/>
      <c r="I195" s="53"/>
      <c r="J195" s="53"/>
      <c r="K195" s="53"/>
      <c r="L195" s="53"/>
      <c r="M195" s="53"/>
      <c r="N195" s="53"/>
      <c r="O195" s="53"/>
    </row>
    <row r="196" spans="1:15" x14ac:dyDescent="0.3">
      <c r="A196" s="28"/>
      <c r="B196" s="28"/>
      <c r="G196" s="53"/>
      <c r="H196" s="53"/>
      <c r="I196" s="53"/>
      <c r="J196" s="53"/>
      <c r="K196" s="53"/>
      <c r="L196" s="53"/>
      <c r="M196" s="53"/>
      <c r="N196" s="53"/>
      <c r="O196" s="53"/>
    </row>
    <row r="197" spans="1:15" x14ac:dyDescent="0.3">
      <c r="A197" s="28"/>
      <c r="B197" s="28"/>
      <c r="G197" s="53"/>
      <c r="H197" s="53"/>
      <c r="I197" s="53"/>
      <c r="J197" s="53"/>
      <c r="K197" s="53"/>
      <c r="L197" s="53"/>
      <c r="M197" s="53"/>
      <c r="N197" s="53"/>
      <c r="O197" s="53"/>
    </row>
    <row r="198" spans="1:15" x14ac:dyDescent="0.3">
      <c r="A198" s="28"/>
      <c r="B198" s="28"/>
      <c r="G198" s="53"/>
      <c r="H198" s="53"/>
      <c r="I198" s="53"/>
      <c r="J198" s="53"/>
      <c r="K198" s="53"/>
      <c r="L198" s="53"/>
      <c r="M198" s="53"/>
      <c r="N198" s="53"/>
      <c r="O198" s="53"/>
    </row>
    <row r="199" spans="1:15" x14ac:dyDescent="0.3">
      <c r="A199" s="28"/>
      <c r="B199" s="28"/>
      <c r="G199" s="53"/>
      <c r="H199" s="53"/>
      <c r="I199" s="53"/>
      <c r="J199" s="53"/>
      <c r="K199" s="53"/>
      <c r="L199" s="53"/>
      <c r="M199" s="53"/>
      <c r="N199" s="53"/>
      <c r="O199" s="53"/>
    </row>
    <row r="200" spans="1:15" x14ac:dyDescent="0.3">
      <c r="A200" s="28"/>
      <c r="B200" s="28"/>
      <c r="G200" s="53"/>
      <c r="H200" s="53"/>
      <c r="I200" s="53"/>
      <c r="J200" s="53"/>
      <c r="K200" s="53"/>
      <c r="L200" s="53"/>
      <c r="M200" s="53"/>
      <c r="N200" s="53"/>
      <c r="O200" s="53"/>
    </row>
    <row r="201" spans="1:15" x14ac:dyDescent="0.3">
      <c r="A201" s="28"/>
      <c r="B201" s="28"/>
      <c r="G201" s="53"/>
      <c r="H201" s="53"/>
      <c r="I201" s="53"/>
      <c r="J201" s="53"/>
      <c r="K201" s="53"/>
      <c r="L201" s="53"/>
      <c r="M201" s="53"/>
      <c r="N201" s="53"/>
      <c r="O201" s="53"/>
    </row>
    <row r="202" spans="1:15" x14ac:dyDescent="0.3">
      <c r="A202" s="28"/>
      <c r="B202" s="28"/>
      <c r="G202" s="53"/>
      <c r="H202" s="53"/>
      <c r="I202" s="53"/>
      <c r="J202" s="53"/>
      <c r="K202" s="53"/>
      <c r="L202" s="53"/>
      <c r="M202" s="53"/>
      <c r="N202" s="53"/>
      <c r="O202" s="53"/>
    </row>
    <row r="203" spans="1:15" x14ac:dyDescent="0.3">
      <c r="A203" s="28"/>
      <c r="B203" s="28"/>
      <c r="G203" s="53"/>
      <c r="H203" s="53"/>
      <c r="I203" s="53"/>
      <c r="J203" s="53"/>
      <c r="K203" s="53"/>
      <c r="L203" s="53"/>
      <c r="M203" s="53"/>
      <c r="N203" s="53"/>
      <c r="O203" s="53"/>
    </row>
    <row r="204" spans="1:15" x14ac:dyDescent="0.3">
      <c r="G204" s="53"/>
      <c r="H204" s="53"/>
      <c r="I204" s="53"/>
      <c r="J204" s="53"/>
      <c r="K204" s="53"/>
      <c r="L204" s="53"/>
      <c r="M204" s="53"/>
      <c r="N204" s="53"/>
      <c r="O204" s="53"/>
    </row>
    <row r="205" spans="1:15" x14ac:dyDescent="0.3">
      <c r="G205" s="53"/>
      <c r="H205" s="53"/>
      <c r="I205" s="53"/>
      <c r="J205" s="53"/>
      <c r="K205" s="53"/>
      <c r="L205" s="53"/>
      <c r="M205" s="53"/>
      <c r="N205" s="53"/>
      <c r="O205" s="53"/>
    </row>
    <row r="206" spans="1:15" x14ac:dyDescent="0.3">
      <c r="G206" s="53"/>
      <c r="H206" s="53"/>
      <c r="I206" s="53"/>
      <c r="J206" s="53"/>
      <c r="K206" s="53"/>
      <c r="L206" s="53"/>
      <c r="M206" s="53"/>
      <c r="N206" s="53"/>
      <c r="O206" s="53"/>
    </row>
    <row r="207" spans="1:15" x14ac:dyDescent="0.3">
      <c r="G207" s="53"/>
      <c r="H207" s="53"/>
      <c r="I207" s="53"/>
      <c r="J207" s="53"/>
      <c r="K207" s="53"/>
      <c r="L207" s="53"/>
      <c r="M207" s="53"/>
      <c r="N207" s="53"/>
      <c r="O207" s="53"/>
    </row>
  </sheetData>
  <pageMargins left="0.75" right="0.75" top="1" bottom="1" header="0.5" footer="0.5"/>
  <drawing r:id="rId12"/>
  <extLst>
    <ext xmlns:x14="http://schemas.microsoft.com/office/spreadsheetml/2009/9/main" uri="{A8765BA9-456A-4dab-B4F3-ACF838C121DE}">
      <x14:slicerList>
        <x14:slicer r:id="rId1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150"/>
  <sheetViews>
    <sheetView showGridLines="0" tabSelected="1" topLeftCell="E1" workbookViewId="0">
      <pane ySplit="4" topLeftCell="A135" activePane="bottomLeft" state="frozen"/>
      <selection pane="bottomLeft" activeCell="F149" sqref="F149"/>
    </sheetView>
  </sheetViews>
  <sheetFormatPr defaultRowHeight="14.4" x14ac:dyDescent="0.3"/>
  <cols>
    <col min="1" max="1" width="14" customWidth="1"/>
    <col min="2" max="2" width="42" customWidth="1"/>
    <col min="3" max="3" width="14" customWidth="1"/>
    <col min="4" max="4" width="24" customWidth="1"/>
    <col min="5" max="5" width="40" customWidth="1"/>
    <col min="6" max="6" width="38" customWidth="1"/>
    <col min="8" max="8" width="15.6640625" customWidth="1"/>
    <col min="9" max="9" width="15.5546875" customWidth="1"/>
    <col min="10" max="10" width="15" customWidth="1"/>
    <col min="13" max="13" width="12.5546875" bestFit="1" customWidth="1"/>
    <col min="14" max="14" width="14.88671875" bestFit="1" customWidth="1"/>
    <col min="16" max="16" width="12.5546875" bestFit="1" customWidth="1"/>
    <col min="17" max="17" width="14.88671875" bestFit="1" customWidth="1"/>
  </cols>
  <sheetData>
    <row r="1" spans="1:6" ht="24" customHeight="1" x14ac:dyDescent="0.4">
      <c r="A1" s="1" t="s">
        <v>486</v>
      </c>
    </row>
    <row r="2" spans="1:6" x14ac:dyDescent="0.3">
      <c r="A2" s="2" t="s">
        <v>404</v>
      </c>
    </row>
    <row r="4" spans="1:6" ht="22.05" customHeight="1" x14ac:dyDescent="0.3">
      <c r="A4" s="7" t="s">
        <v>405</v>
      </c>
    </row>
    <row r="5" spans="1:6" x14ac:dyDescent="0.3">
      <c r="A5" s="16" t="s">
        <v>406</v>
      </c>
      <c r="B5" s="16" t="s">
        <v>407</v>
      </c>
      <c r="C5" s="16" t="s">
        <v>408</v>
      </c>
      <c r="D5" s="16" t="s">
        <v>409</v>
      </c>
      <c r="E5" s="16" t="s">
        <v>410</v>
      </c>
      <c r="F5" s="16" t="s">
        <v>411</v>
      </c>
    </row>
    <row r="6" spans="1:6" x14ac:dyDescent="0.3">
      <c r="A6" s="17">
        <v>45658</v>
      </c>
      <c r="B6" s="11" t="s">
        <v>412</v>
      </c>
      <c r="C6" s="11" t="s">
        <v>413</v>
      </c>
      <c r="D6" s="11" t="s">
        <v>51</v>
      </c>
      <c r="E6" s="11">
        <v>12</v>
      </c>
      <c r="F6" s="11">
        <v>358885</v>
      </c>
    </row>
    <row r="7" spans="1:6" x14ac:dyDescent="0.3">
      <c r="A7" s="17">
        <v>45661</v>
      </c>
      <c r="B7" s="11" t="s">
        <v>414</v>
      </c>
      <c r="C7" s="11" t="s">
        <v>415</v>
      </c>
      <c r="D7" s="11" t="s">
        <v>77</v>
      </c>
      <c r="E7" s="11">
        <v>4</v>
      </c>
      <c r="F7" s="11">
        <v>219634</v>
      </c>
    </row>
    <row r="8" spans="1:6" x14ac:dyDescent="0.3">
      <c r="A8" s="17">
        <v>45664</v>
      </c>
      <c r="B8" s="11" t="s">
        <v>414</v>
      </c>
      <c r="C8" s="11" t="s">
        <v>413</v>
      </c>
      <c r="D8" s="11" t="s">
        <v>61</v>
      </c>
      <c r="E8" s="11">
        <v>4</v>
      </c>
      <c r="F8" s="11">
        <v>119826</v>
      </c>
    </row>
    <row r="9" spans="1:6" x14ac:dyDescent="0.3">
      <c r="A9" s="17">
        <v>45667</v>
      </c>
      <c r="B9" s="11" t="s">
        <v>416</v>
      </c>
      <c r="C9" s="11" t="s">
        <v>417</v>
      </c>
      <c r="D9" s="11" t="s">
        <v>54</v>
      </c>
      <c r="E9" s="11">
        <v>7</v>
      </c>
      <c r="F9" s="11">
        <v>18189</v>
      </c>
    </row>
    <row r="10" spans="1:6" x14ac:dyDescent="0.3">
      <c r="A10" s="17">
        <v>45670</v>
      </c>
      <c r="B10" s="11" t="s">
        <v>418</v>
      </c>
      <c r="C10" s="11" t="s">
        <v>415</v>
      </c>
      <c r="D10" s="11" t="s">
        <v>97</v>
      </c>
      <c r="E10" s="11">
        <v>5</v>
      </c>
      <c r="F10" s="11">
        <v>275876</v>
      </c>
    </row>
    <row r="11" spans="1:6" x14ac:dyDescent="0.3">
      <c r="A11" s="17">
        <v>45673</v>
      </c>
      <c r="B11" s="11" t="s">
        <v>414</v>
      </c>
      <c r="C11" s="11" t="s">
        <v>417</v>
      </c>
      <c r="D11" s="11" t="s">
        <v>81</v>
      </c>
      <c r="E11" s="11">
        <v>6</v>
      </c>
      <c r="F11" s="11">
        <v>13226</v>
      </c>
    </row>
    <row r="12" spans="1:6" x14ac:dyDescent="0.3">
      <c r="A12" s="17">
        <v>45676</v>
      </c>
      <c r="B12" s="11" t="s">
        <v>416</v>
      </c>
      <c r="C12" s="11" t="s">
        <v>413</v>
      </c>
      <c r="D12" s="11" t="s">
        <v>51</v>
      </c>
      <c r="E12" s="11">
        <v>10</v>
      </c>
      <c r="F12" s="11">
        <v>300174</v>
      </c>
    </row>
    <row r="13" spans="1:6" x14ac:dyDescent="0.3">
      <c r="A13" s="17">
        <v>45679</v>
      </c>
      <c r="B13" s="11" t="s">
        <v>416</v>
      </c>
      <c r="C13" s="11" t="s">
        <v>415</v>
      </c>
      <c r="D13" s="11" t="s">
        <v>87</v>
      </c>
      <c r="E13" s="11">
        <v>7</v>
      </c>
      <c r="F13" s="11">
        <v>385831</v>
      </c>
    </row>
    <row r="14" spans="1:6" x14ac:dyDescent="0.3">
      <c r="A14" s="17">
        <v>45682</v>
      </c>
      <c r="B14" s="11" t="s">
        <v>418</v>
      </c>
      <c r="C14" s="11" t="s">
        <v>419</v>
      </c>
      <c r="D14" s="11" t="s">
        <v>87</v>
      </c>
      <c r="E14" s="11">
        <v>9</v>
      </c>
      <c r="F14" s="11">
        <v>34947</v>
      </c>
    </row>
    <row r="15" spans="1:6" x14ac:dyDescent="0.3">
      <c r="A15" s="17">
        <v>45685</v>
      </c>
      <c r="B15" s="11" t="s">
        <v>414</v>
      </c>
      <c r="C15" s="11" t="s">
        <v>420</v>
      </c>
      <c r="D15" s="11" t="s">
        <v>54</v>
      </c>
      <c r="E15" s="11">
        <v>5</v>
      </c>
      <c r="F15" s="11">
        <v>58363</v>
      </c>
    </row>
    <row r="16" spans="1:6" x14ac:dyDescent="0.3">
      <c r="A16" s="17">
        <v>45688</v>
      </c>
      <c r="B16" s="11" t="s">
        <v>414</v>
      </c>
      <c r="C16" s="11" t="s">
        <v>415</v>
      </c>
      <c r="D16" s="11" t="s">
        <v>79</v>
      </c>
      <c r="E16" s="11">
        <v>9</v>
      </c>
      <c r="F16" s="11">
        <v>494614</v>
      </c>
    </row>
    <row r="17" spans="1:6" x14ac:dyDescent="0.3">
      <c r="A17" s="17">
        <v>45691</v>
      </c>
      <c r="B17" s="11" t="s">
        <v>418</v>
      </c>
      <c r="C17" s="11" t="s">
        <v>419</v>
      </c>
      <c r="D17" s="11" t="s">
        <v>41</v>
      </c>
      <c r="E17" s="11">
        <v>11</v>
      </c>
      <c r="F17" s="11">
        <v>44704</v>
      </c>
    </row>
    <row r="18" spans="1:6" x14ac:dyDescent="0.3">
      <c r="A18" s="17">
        <v>45694</v>
      </c>
      <c r="B18" s="11" t="s">
        <v>418</v>
      </c>
      <c r="C18" s="11" t="s">
        <v>417</v>
      </c>
      <c r="D18" s="11" t="s">
        <v>43</v>
      </c>
      <c r="E18" s="11">
        <v>12</v>
      </c>
      <c r="F18" s="11">
        <v>30460</v>
      </c>
    </row>
    <row r="19" spans="1:6" x14ac:dyDescent="0.3">
      <c r="A19" s="17">
        <v>45697</v>
      </c>
      <c r="B19" s="11" t="s">
        <v>418</v>
      </c>
      <c r="C19" s="11" t="s">
        <v>417</v>
      </c>
      <c r="D19" s="11" t="s">
        <v>72</v>
      </c>
      <c r="E19" s="11">
        <v>6</v>
      </c>
      <c r="F19" s="11">
        <v>16296</v>
      </c>
    </row>
    <row r="20" spans="1:6" x14ac:dyDescent="0.3">
      <c r="A20" s="17">
        <v>45700</v>
      </c>
      <c r="B20" s="11" t="s">
        <v>418</v>
      </c>
      <c r="C20" s="11" t="s">
        <v>420</v>
      </c>
      <c r="D20" s="11" t="s">
        <v>47</v>
      </c>
      <c r="E20" s="11">
        <v>4</v>
      </c>
      <c r="F20" s="11">
        <v>49444</v>
      </c>
    </row>
    <row r="21" spans="1:6" x14ac:dyDescent="0.3">
      <c r="A21" s="17">
        <v>45703</v>
      </c>
      <c r="B21" s="11" t="s">
        <v>414</v>
      </c>
      <c r="C21" s="11" t="s">
        <v>417</v>
      </c>
      <c r="D21" s="11" t="s">
        <v>95</v>
      </c>
      <c r="E21" s="11">
        <v>3</v>
      </c>
      <c r="F21" s="11">
        <v>10162</v>
      </c>
    </row>
    <row r="22" spans="1:6" x14ac:dyDescent="0.3">
      <c r="A22" s="17">
        <v>45706</v>
      </c>
      <c r="B22" s="11" t="s">
        <v>418</v>
      </c>
      <c r="C22" s="11" t="s">
        <v>419</v>
      </c>
      <c r="D22" s="11" t="s">
        <v>81</v>
      </c>
      <c r="E22" s="11">
        <v>1</v>
      </c>
      <c r="F22" s="11">
        <v>4489</v>
      </c>
    </row>
    <row r="23" spans="1:6" x14ac:dyDescent="0.3">
      <c r="A23" s="17">
        <v>45709</v>
      </c>
      <c r="B23" s="11" t="s">
        <v>418</v>
      </c>
      <c r="C23" s="11" t="s">
        <v>421</v>
      </c>
      <c r="D23" s="11" t="s">
        <v>72</v>
      </c>
      <c r="E23" s="11">
        <v>10</v>
      </c>
      <c r="F23" s="11">
        <v>222969</v>
      </c>
    </row>
    <row r="24" spans="1:6" x14ac:dyDescent="0.3">
      <c r="A24" s="17">
        <v>45712</v>
      </c>
      <c r="B24" s="11" t="s">
        <v>418</v>
      </c>
      <c r="C24" s="11" t="s">
        <v>419</v>
      </c>
      <c r="D24" s="11" t="s">
        <v>75</v>
      </c>
      <c r="E24" s="11">
        <v>8</v>
      </c>
      <c r="F24" s="11">
        <v>31750</v>
      </c>
    </row>
    <row r="25" spans="1:6" x14ac:dyDescent="0.3">
      <c r="A25" s="17">
        <v>45715</v>
      </c>
      <c r="B25" s="11" t="s">
        <v>414</v>
      </c>
      <c r="C25" s="11" t="s">
        <v>417</v>
      </c>
      <c r="D25" s="11" t="s">
        <v>51</v>
      </c>
      <c r="E25" s="11">
        <v>11</v>
      </c>
      <c r="F25" s="11">
        <v>26194</v>
      </c>
    </row>
    <row r="26" spans="1:6" x14ac:dyDescent="0.3">
      <c r="A26" s="17">
        <v>45718</v>
      </c>
      <c r="B26" s="11" t="s">
        <v>418</v>
      </c>
      <c r="C26" s="11" t="s">
        <v>420</v>
      </c>
      <c r="D26" s="11" t="s">
        <v>91</v>
      </c>
      <c r="E26" s="11">
        <v>11</v>
      </c>
      <c r="F26" s="11">
        <v>132745</v>
      </c>
    </row>
    <row r="27" spans="1:6" x14ac:dyDescent="0.3">
      <c r="A27" s="17">
        <v>45721</v>
      </c>
      <c r="B27" s="11" t="s">
        <v>416</v>
      </c>
      <c r="C27" s="11" t="s">
        <v>421</v>
      </c>
      <c r="D27" s="11" t="s">
        <v>91</v>
      </c>
      <c r="E27" s="11">
        <v>5</v>
      </c>
      <c r="F27" s="11">
        <v>109840</v>
      </c>
    </row>
    <row r="28" spans="1:6" x14ac:dyDescent="0.3">
      <c r="A28" s="17">
        <v>45724</v>
      </c>
      <c r="B28" s="11" t="s">
        <v>412</v>
      </c>
      <c r="C28" s="11" t="s">
        <v>421</v>
      </c>
      <c r="D28" s="11" t="s">
        <v>31</v>
      </c>
      <c r="E28" s="11">
        <v>1</v>
      </c>
      <c r="F28" s="11">
        <v>22005</v>
      </c>
    </row>
    <row r="29" spans="1:6" x14ac:dyDescent="0.3">
      <c r="A29" s="17">
        <v>45727</v>
      </c>
      <c r="B29" s="11" t="s">
        <v>414</v>
      </c>
      <c r="C29" s="11" t="s">
        <v>420</v>
      </c>
      <c r="D29" s="11" t="s">
        <v>97</v>
      </c>
      <c r="E29" s="11">
        <v>2</v>
      </c>
      <c r="F29" s="11">
        <v>25730</v>
      </c>
    </row>
    <row r="30" spans="1:6" x14ac:dyDescent="0.3">
      <c r="A30" s="17">
        <v>45730</v>
      </c>
      <c r="B30" s="11" t="s">
        <v>414</v>
      </c>
      <c r="C30" s="11" t="s">
        <v>417</v>
      </c>
      <c r="D30" s="11" t="s">
        <v>85</v>
      </c>
      <c r="E30" s="11">
        <v>4</v>
      </c>
      <c r="F30" s="11">
        <v>11145</v>
      </c>
    </row>
    <row r="31" spans="1:6" x14ac:dyDescent="0.3">
      <c r="A31" s="17">
        <v>45733</v>
      </c>
      <c r="B31" s="11" t="s">
        <v>414</v>
      </c>
      <c r="C31" s="11" t="s">
        <v>419</v>
      </c>
      <c r="D31" s="11" t="s">
        <v>56</v>
      </c>
      <c r="E31" s="11">
        <v>3</v>
      </c>
      <c r="F31" s="11">
        <v>10045</v>
      </c>
    </row>
    <row r="32" spans="1:6" x14ac:dyDescent="0.3">
      <c r="A32" s="17">
        <v>45736</v>
      </c>
      <c r="B32" s="11" t="s">
        <v>416</v>
      </c>
      <c r="C32" s="11" t="s">
        <v>419</v>
      </c>
      <c r="D32" s="11" t="s">
        <v>56</v>
      </c>
      <c r="E32" s="11">
        <v>3</v>
      </c>
      <c r="F32" s="11">
        <v>14243</v>
      </c>
    </row>
    <row r="33" spans="1:6" x14ac:dyDescent="0.3">
      <c r="A33" s="17">
        <v>45739</v>
      </c>
      <c r="B33" s="11" t="s">
        <v>414</v>
      </c>
      <c r="C33" s="11" t="s">
        <v>415</v>
      </c>
      <c r="D33" s="11" t="s">
        <v>81</v>
      </c>
      <c r="E33" s="11">
        <v>4</v>
      </c>
      <c r="F33" s="11">
        <v>218994</v>
      </c>
    </row>
    <row r="34" spans="1:6" x14ac:dyDescent="0.3">
      <c r="A34" s="17">
        <v>45742</v>
      </c>
      <c r="B34" s="11" t="s">
        <v>414</v>
      </c>
      <c r="C34" s="11" t="s">
        <v>421</v>
      </c>
      <c r="D34" s="11" t="s">
        <v>75</v>
      </c>
      <c r="E34" s="11">
        <v>11</v>
      </c>
      <c r="F34" s="11">
        <v>244351</v>
      </c>
    </row>
    <row r="35" spans="1:6" x14ac:dyDescent="0.3">
      <c r="A35" s="17">
        <v>45745</v>
      </c>
      <c r="B35" s="11" t="s">
        <v>418</v>
      </c>
      <c r="C35" s="11" t="s">
        <v>419</v>
      </c>
      <c r="D35" s="11" t="s">
        <v>87</v>
      </c>
      <c r="E35" s="11">
        <v>12</v>
      </c>
      <c r="F35" s="11">
        <v>50135</v>
      </c>
    </row>
    <row r="36" spans="1:6" x14ac:dyDescent="0.3">
      <c r="A36" s="17">
        <v>45748</v>
      </c>
      <c r="B36" s="11" t="s">
        <v>414</v>
      </c>
      <c r="C36" s="11" t="s">
        <v>420</v>
      </c>
      <c r="D36" s="11" t="s">
        <v>75</v>
      </c>
      <c r="E36" s="11">
        <v>3</v>
      </c>
      <c r="F36" s="11">
        <v>37888</v>
      </c>
    </row>
    <row r="37" spans="1:6" x14ac:dyDescent="0.3">
      <c r="A37" s="17">
        <v>45751</v>
      </c>
      <c r="B37" s="11" t="s">
        <v>414</v>
      </c>
      <c r="C37" s="11" t="s">
        <v>413</v>
      </c>
      <c r="D37" s="11" t="s">
        <v>97</v>
      </c>
      <c r="E37" s="11">
        <v>4</v>
      </c>
      <c r="F37" s="11">
        <v>120271</v>
      </c>
    </row>
    <row r="38" spans="1:6" x14ac:dyDescent="0.3">
      <c r="A38" s="17">
        <v>45754</v>
      </c>
      <c r="B38" s="11" t="s">
        <v>414</v>
      </c>
      <c r="C38" s="11" t="s">
        <v>417</v>
      </c>
      <c r="D38" s="11" t="s">
        <v>56</v>
      </c>
      <c r="E38" s="11">
        <v>5</v>
      </c>
      <c r="F38" s="11">
        <v>14103</v>
      </c>
    </row>
    <row r="39" spans="1:6" x14ac:dyDescent="0.3">
      <c r="A39" s="17">
        <v>45757</v>
      </c>
      <c r="B39" s="11" t="s">
        <v>416</v>
      </c>
      <c r="C39" s="11" t="s">
        <v>417</v>
      </c>
      <c r="D39" s="11" t="s">
        <v>61</v>
      </c>
      <c r="E39" s="11">
        <v>4</v>
      </c>
      <c r="F39" s="11">
        <v>10225</v>
      </c>
    </row>
    <row r="40" spans="1:6" x14ac:dyDescent="0.3">
      <c r="A40" s="17">
        <v>45760</v>
      </c>
      <c r="B40" s="11" t="s">
        <v>418</v>
      </c>
      <c r="C40" s="11" t="s">
        <v>413</v>
      </c>
      <c r="D40" s="11" t="s">
        <v>81</v>
      </c>
      <c r="E40" s="11">
        <v>2</v>
      </c>
      <c r="F40" s="11">
        <v>59133</v>
      </c>
    </row>
    <row r="41" spans="1:6" x14ac:dyDescent="0.3">
      <c r="A41" s="17">
        <v>45763</v>
      </c>
      <c r="B41" s="11" t="s">
        <v>412</v>
      </c>
      <c r="C41" s="11" t="s">
        <v>421</v>
      </c>
      <c r="D41" s="11" t="s">
        <v>70</v>
      </c>
      <c r="E41" s="11">
        <v>12</v>
      </c>
      <c r="F41" s="11">
        <v>263251</v>
      </c>
    </row>
    <row r="42" spans="1:6" x14ac:dyDescent="0.3">
      <c r="A42" s="17">
        <v>45766</v>
      </c>
      <c r="B42" s="11" t="s">
        <v>412</v>
      </c>
      <c r="C42" s="11" t="s">
        <v>415</v>
      </c>
      <c r="D42" s="11" t="s">
        <v>72</v>
      </c>
      <c r="E42" s="11">
        <v>7</v>
      </c>
      <c r="F42" s="11">
        <v>385710</v>
      </c>
    </row>
    <row r="43" spans="1:6" x14ac:dyDescent="0.3">
      <c r="A43" s="17">
        <v>45769</v>
      </c>
      <c r="B43" s="11" t="s">
        <v>414</v>
      </c>
      <c r="C43" s="11" t="s">
        <v>419</v>
      </c>
      <c r="D43" s="11" t="s">
        <v>36</v>
      </c>
      <c r="E43" s="11">
        <v>4</v>
      </c>
      <c r="F43" s="11">
        <v>17441</v>
      </c>
    </row>
    <row r="44" spans="1:6" x14ac:dyDescent="0.3">
      <c r="A44" s="17">
        <v>45772</v>
      </c>
      <c r="B44" s="11" t="s">
        <v>414</v>
      </c>
      <c r="C44" s="11" t="s">
        <v>420</v>
      </c>
      <c r="D44" s="11" t="s">
        <v>93</v>
      </c>
      <c r="E44" s="11">
        <v>1</v>
      </c>
      <c r="F44" s="11">
        <v>14716</v>
      </c>
    </row>
    <row r="45" spans="1:6" x14ac:dyDescent="0.3">
      <c r="A45" s="17">
        <v>45775</v>
      </c>
      <c r="B45" s="11" t="s">
        <v>414</v>
      </c>
      <c r="C45" s="11" t="s">
        <v>419</v>
      </c>
      <c r="D45" s="11" t="s">
        <v>31</v>
      </c>
      <c r="E45" s="11">
        <v>6</v>
      </c>
      <c r="F45" s="11">
        <v>24446</v>
      </c>
    </row>
    <row r="46" spans="1:6" x14ac:dyDescent="0.3">
      <c r="A46" s="17">
        <v>45778</v>
      </c>
      <c r="B46" s="11" t="s">
        <v>414</v>
      </c>
      <c r="C46" s="11" t="s">
        <v>419</v>
      </c>
      <c r="D46" s="11" t="s">
        <v>81</v>
      </c>
      <c r="E46" s="11">
        <v>12</v>
      </c>
      <c r="F46" s="11">
        <v>50473</v>
      </c>
    </row>
    <row r="47" spans="1:6" x14ac:dyDescent="0.3">
      <c r="A47" s="17">
        <v>45781</v>
      </c>
      <c r="B47" s="11" t="s">
        <v>412</v>
      </c>
      <c r="C47" s="11" t="s">
        <v>419</v>
      </c>
      <c r="D47" s="11" t="s">
        <v>56</v>
      </c>
      <c r="E47" s="11">
        <v>5</v>
      </c>
      <c r="F47" s="11">
        <v>21570</v>
      </c>
    </row>
    <row r="48" spans="1:6" x14ac:dyDescent="0.3">
      <c r="A48" s="17">
        <v>45784</v>
      </c>
      <c r="B48" s="11" t="s">
        <v>414</v>
      </c>
      <c r="C48" s="11" t="s">
        <v>415</v>
      </c>
      <c r="D48" s="11" t="s">
        <v>70</v>
      </c>
      <c r="E48" s="11">
        <v>6</v>
      </c>
      <c r="F48" s="11">
        <v>331312</v>
      </c>
    </row>
    <row r="49" spans="1:6" x14ac:dyDescent="0.3">
      <c r="A49" s="17">
        <v>45787</v>
      </c>
      <c r="B49" s="11" t="s">
        <v>412</v>
      </c>
      <c r="C49" s="11" t="s">
        <v>419</v>
      </c>
      <c r="D49" s="11" t="s">
        <v>47</v>
      </c>
      <c r="E49" s="11">
        <v>10</v>
      </c>
      <c r="F49" s="11">
        <v>42375</v>
      </c>
    </row>
    <row r="50" spans="1:6" x14ac:dyDescent="0.3">
      <c r="A50" s="17">
        <v>45790</v>
      </c>
      <c r="B50" s="11" t="s">
        <v>416</v>
      </c>
      <c r="C50" s="11" t="s">
        <v>419</v>
      </c>
      <c r="D50" s="11" t="s">
        <v>85</v>
      </c>
      <c r="E50" s="11">
        <v>10</v>
      </c>
      <c r="F50" s="11">
        <v>38222</v>
      </c>
    </row>
    <row r="51" spans="1:6" x14ac:dyDescent="0.3">
      <c r="A51" s="17">
        <v>45793</v>
      </c>
      <c r="B51" s="11" t="s">
        <v>416</v>
      </c>
      <c r="C51" s="11" t="s">
        <v>417</v>
      </c>
      <c r="D51" s="11" t="s">
        <v>72</v>
      </c>
      <c r="E51" s="11">
        <v>3</v>
      </c>
      <c r="F51" s="11">
        <v>9282</v>
      </c>
    </row>
    <row r="52" spans="1:6" x14ac:dyDescent="0.3">
      <c r="A52" s="17">
        <v>45796</v>
      </c>
      <c r="B52" s="11" t="s">
        <v>412</v>
      </c>
      <c r="C52" s="11" t="s">
        <v>415</v>
      </c>
      <c r="D52" s="11" t="s">
        <v>58</v>
      </c>
      <c r="E52" s="11">
        <v>7</v>
      </c>
      <c r="F52" s="11">
        <v>385681</v>
      </c>
    </row>
    <row r="53" spans="1:6" x14ac:dyDescent="0.3">
      <c r="A53" s="17">
        <v>45799</v>
      </c>
      <c r="B53" s="11" t="s">
        <v>412</v>
      </c>
      <c r="C53" s="11" t="s">
        <v>419</v>
      </c>
      <c r="D53" s="11" t="s">
        <v>64</v>
      </c>
      <c r="E53" s="11">
        <v>6</v>
      </c>
      <c r="F53" s="11">
        <v>25105</v>
      </c>
    </row>
    <row r="54" spans="1:6" x14ac:dyDescent="0.3">
      <c r="A54" s="17">
        <v>45802</v>
      </c>
      <c r="B54" s="11" t="s">
        <v>418</v>
      </c>
      <c r="C54" s="11" t="s">
        <v>419</v>
      </c>
      <c r="D54" s="11" t="s">
        <v>58</v>
      </c>
      <c r="E54" s="11">
        <v>2</v>
      </c>
      <c r="F54" s="11">
        <v>9852</v>
      </c>
    </row>
    <row r="55" spans="1:6" x14ac:dyDescent="0.3">
      <c r="A55" s="17">
        <v>45805</v>
      </c>
      <c r="B55" s="11" t="s">
        <v>416</v>
      </c>
      <c r="C55" s="11" t="s">
        <v>417</v>
      </c>
      <c r="D55" s="11" t="s">
        <v>81</v>
      </c>
      <c r="E55" s="11">
        <v>1</v>
      </c>
      <c r="F55" s="11">
        <v>3366</v>
      </c>
    </row>
    <row r="56" spans="1:6" x14ac:dyDescent="0.3">
      <c r="A56" s="17">
        <v>45808</v>
      </c>
      <c r="B56" s="11" t="s">
        <v>412</v>
      </c>
      <c r="C56" s="11" t="s">
        <v>417</v>
      </c>
      <c r="D56" s="11" t="s">
        <v>41</v>
      </c>
      <c r="E56" s="11">
        <v>11</v>
      </c>
      <c r="F56" s="11">
        <v>25829</v>
      </c>
    </row>
    <row r="57" spans="1:6" x14ac:dyDescent="0.3">
      <c r="A57" s="17">
        <v>45811</v>
      </c>
      <c r="B57" s="11" t="s">
        <v>416</v>
      </c>
      <c r="C57" s="11" t="s">
        <v>421</v>
      </c>
      <c r="D57" s="11" t="s">
        <v>54</v>
      </c>
      <c r="E57" s="11">
        <v>1</v>
      </c>
      <c r="F57" s="11">
        <v>21248</v>
      </c>
    </row>
    <row r="58" spans="1:6" x14ac:dyDescent="0.3">
      <c r="A58" s="17">
        <v>45814</v>
      </c>
      <c r="B58" s="11" t="s">
        <v>412</v>
      </c>
      <c r="C58" s="11" t="s">
        <v>421</v>
      </c>
      <c r="D58" s="11" t="s">
        <v>77</v>
      </c>
      <c r="E58" s="11">
        <v>11</v>
      </c>
      <c r="F58" s="11">
        <v>240937</v>
      </c>
    </row>
    <row r="59" spans="1:6" x14ac:dyDescent="0.3">
      <c r="A59" s="17">
        <v>45817</v>
      </c>
      <c r="B59" s="11" t="s">
        <v>412</v>
      </c>
      <c r="C59" s="11" t="s">
        <v>419</v>
      </c>
      <c r="D59" s="11" t="s">
        <v>93</v>
      </c>
      <c r="E59" s="11">
        <v>5</v>
      </c>
      <c r="F59" s="11">
        <v>21021</v>
      </c>
    </row>
    <row r="60" spans="1:6" x14ac:dyDescent="0.3">
      <c r="A60" s="17">
        <v>45820</v>
      </c>
      <c r="B60" s="11" t="s">
        <v>412</v>
      </c>
      <c r="C60" s="11" t="s">
        <v>420</v>
      </c>
      <c r="D60" s="11" t="s">
        <v>87</v>
      </c>
      <c r="E60" s="11">
        <v>12</v>
      </c>
      <c r="F60" s="11">
        <v>142938</v>
      </c>
    </row>
    <row r="61" spans="1:6" x14ac:dyDescent="0.3">
      <c r="A61" s="17">
        <v>45823</v>
      </c>
      <c r="B61" s="11" t="s">
        <v>412</v>
      </c>
      <c r="C61" s="11" t="s">
        <v>413</v>
      </c>
      <c r="D61" s="11" t="s">
        <v>43</v>
      </c>
      <c r="E61" s="11">
        <v>10</v>
      </c>
      <c r="F61" s="11">
        <v>298210</v>
      </c>
    </row>
    <row r="62" spans="1:6" x14ac:dyDescent="0.3">
      <c r="A62" s="17">
        <v>45826</v>
      </c>
      <c r="B62" s="11" t="s">
        <v>418</v>
      </c>
      <c r="C62" s="11" t="s">
        <v>420</v>
      </c>
      <c r="D62" s="11" t="s">
        <v>91</v>
      </c>
      <c r="E62" s="11">
        <v>7</v>
      </c>
      <c r="F62" s="11">
        <v>85249</v>
      </c>
    </row>
    <row r="63" spans="1:6" x14ac:dyDescent="0.3">
      <c r="A63" s="17">
        <v>45829</v>
      </c>
      <c r="B63" s="11" t="s">
        <v>412</v>
      </c>
      <c r="C63" s="11" t="s">
        <v>415</v>
      </c>
      <c r="D63" s="11" t="s">
        <v>85</v>
      </c>
      <c r="E63" s="11">
        <v>12</v>
      </c>
      <c r="F63" s="11">
        <v>659989</v>
      </c>
    </row>
    <row r="64" spans="1:6" x14ac:dyDescent="0.3">
      <c r="A64" s="17">
        <v>45832</v>
      </c>
      <c r="B64" s="11" t="s">
        <v>416</v>
      </c>
      <c r="C64" s="11" t="s">
        <v>417</v>
      </c>
      <c r="D64" s="11" t="s">
        <v>97</v>
      </c>
      <c r="E64" s="11">
        <v>5</v>
      </c>
      <c r="F64" s="11">
        <v>15418</v>
      </c>
    </row>
    <row r="65" spans="1:6" x14ac:dyDescent="0.3">
      <c r="A65" s="17">
        <v>45835</v>
      </c>
      <c r="B65" s="11" t="s">
        <v>416</v>
      </c>
      <c r="C65" s="11" t="s">
        <v>420</v>
      </c>
      <c r="D65" s="11" t="s">
        <v>36</v>
      </c>
      <c r="E65" s="11">
        <v>6</v>
      </c>
      <c r="F65" s="11">
        <v>74364</v>
      </c>
    </row>
    <row r="66" spans="1:6" x14ac:dyDescent="0.3">
      <c r="A66" s="17">
        <v>45838</v>
      </c>
      <c r="B66" s="11" t="s">
        <v>414</v>
      </c>
      <c r="C66" s="11" t="s">
        <v>417</v>
      </c>
      <c r="D66" s="11" t="s">
        <v>66</v>
      </c>
      <c r="E66" s="11">
        <v>2</v>
      </c>
      <c r="F66" s="11">
        <v>7144</v>
      </c>
    </row>
    <row r="67" spans="1:6" x14ac:dyDescent="0.3">
      <c r="A67" s="17">
        <v>45841</v>
      </c>
      <c r="B67" s="11" t="s">
        <v>418</v>
      </c>
      <c r="C67" s="11" t="s">
        <v>415</v>
      </c>
      <c r="D67" s="11" t="s">
        <v>72</v>
      </c>
      <c r="E67" s="11">
        <v>8</v>
      </c>
      <c r="F67" s="11">
        <v>438864</v>
      </c>
    </row>
    <row r="68" spans="1:6" x14ac:dyDescent="0.3">
      <c r="A68" s="17">
        <v>45844</v>
      </c>
      <c r="B68" s="11" t="s">
        <v>414</v>
      </c>
      <c r="C68" s="11" t="s">
        <v>413</v>
      </c>
      <c r="D68" s="11" t="s">
        <v>89</v>
      </c>
      <c r="E68" s="11">
        <v>8</v>
      </c>
      <c r="F68" s="11">
        <v>239253</v>
      </c>
    </row>
    <row r="69" spans="1:6" x14ac:dyDescent="0.3">
      <c r="A69" s="17">
        <v>45847</v>
      </c>
      <c r="B69" s="11" t="s">
        <v>414</v>
      </c>
      <c r="C69" s="11" t="s">
        <v>421</v>
      </c>
      <c r="D69" s="11" t="s">
        <v>95</v>
      </c>
      <c r="E69" s="11">
        <v>9</v>
      </c>
      <c r="F69" s="11">
        <v>198212</v>
      </c>
    </row>
    <row r="70" spans="1:6" x14ac:dyDescent="0.3">
      <c r="A70" s="17">
        <v>45850</v>
      </c>
      <c r="B70" s="11" t="s">
        <v>414</v>
      </c>
      <c r="C70" s="11" t="s">
        <v>419</v>
      </c>
      <c r="D70" s="11" t="s">
        <v>72</v>
      </c>
      <c r="E70" s="11">
        <v>12</v>
      </c>
      <c r="F70" s="11">
        <v>50853</v>
      </c>
    </row>
    <row r="71" spans="1:6" x14ac:dyDescent="0.3">
      <c r="A71" s="17">
        <v>45853</v>
      </c>
      <c r="B71" s="11" t="s">
        <v>418</v>
      </c>
      <c r="C71" s="11" t="s">
        <v>413</v>
      </c>
      <c r="D71" s="11" t="s">
        <v>56</v>
      </c>
      <c r="E71" s="11">
        <v>2</v>
      </c>
      <c r="F71" s="11">
        <v>60284</v>
      </c>
    </row>
    <row r="72" spans="1:6" x14ac:dyDescent="0.3">
      <c r="A72" s="17">
        <v>45856</v>
      </c>
      <c r="B72" s="11" t="s">
        <v>414</v>
      </c>
      <c r="C72" s="11" t="s">
        <v>421</v>
      </c>
      <c r="D72" s="11" t="s">
        <v>97</v>
      </c>
      <c r="E72" s="11">
        <v>8</v>
      </c>
      <c r="F72" s="11">
        <v>178668</v>
      </c>
    </row>
    <row r="73" spans="1:6" x14ac:dyDescent="0.3">
      <c r="A73" s="17">
        <v>45859</v>
      </c>
      <c r="B73" s="11" t="s">
        <v>414</v>
      </c>
      <c r="C73" s="11" t="s">
        <v>413</v>
      </c>
      <c r="D73" s="11" t="s">
        <v>31</v>
      </c>
      <c r="E73" s="11">
        <v>8</v>
      </c>
      <c r="F73" s="11">
        <v>240662</v>
      </c>
    </row>
    <row r="74" spans="1:6" x14ac:dyDescent="0.3">
      <c r="A74" s="17">
        <v>45862</v>
      </c>
      <c r="B74" s="11" t="s">
        <v>412</v>
      </c>
      <c r="C74" s="11" t="s">
        <v>419</v>
      </c>
      <c r="D74" s="11" t="s">
        <v>54</v>
      </c>
      <c r="E74" s="11">
        <v>6</v>
      </c>
      <c r="F74" s="11">
        <v>24116</v>
      </c>
    </row>
    <row r="75" spans="1:6" x14ac:dyDescent="0.3">
      <c r="A75" s="17">
        <v>45865</v>
      </c>
      <c r="B75" s="11" t="s">
        <v>418</v>
      </c>
      <c r="C75" s="11" t="s">
        <v>413</v>
      </c>
      <c r="D75" s="11" t="s">
        <v>87</v>
      </c>
      <c r="E75" s="11">
        <v>12</v>
      </c>
      <c r="F75" s="11">
        <v>360263</v>
      </c>
    </row>
    <row r="76" spans="1:6" x14ac:dyDescent="0.3">
      <c r="A76" s="17">
        <v>45868</v>
      </c>
      <c r="B76" s="11" t="s">
        <v>416</v>
      </c>
      <c r="C76" s="11" t="s">
        <v>420</v>
      </c>
      <c r="D76" s="11" t="s">
        <v>54</v>
      </c>
      <c r="E76" s="11">
        <v>2</v>
      </c>
      <c r="F76" s="11">
        <v>23977</v>
      </c>
    </row>
    <row r="77" spans="1:6" x14ac:dyDescent="0.3">
      <c r="A77" s="17">
        <v>45871</v>
      </c>
      <c r="B77" s="11" t="s">
        <v>414</v>
      </c>
      <c r="C77" s="11" t="s">
        <v>419</v>
      </c>
      <c r="D77" s="11" t="s">
        <v>81</v>
      </c>
      <c r="E77" s="11">
        <v>4</v>
      </c>
      <c r="F77" s="11">
        <v>17900</v>
      </c>
    </row>
    <row r="78" spans="1:6" x14ac:dyDescent="0.3">
      <c r="A78" s="17">
        <v>45874</v>
      </c>
      <c r="B78" s="11" t="s">
        <v>414</v>
      </c>
      <c r="C78" s="11" t="s">
        <v>419</v>
      </c>
      <c r="D78" s="11" t="s">
        <v>31</v>
      </c>
      <c r="E78" s="11">
        <v>2</v>
      </c>
      <c r="F78" s="11">
        <v>8410</v>
      </c>
    </row>
    <row r="79" spans="1:6" x14ac:dyDescent="0.3">
      <c r="A79" s="17">
        <v>45877</v>
      </c>
      <c r="B79" s="11" t="s">
        <v>412</v>
      </c>
      <c r="C79" s="11" t="s">
        <v>419</v>
      </c>
      <c r="D79" s="11" t="s">
        <v>93</v>
      </c>
      <c r="E79" s="11">
        <v>4</v>
      </c>
      <c r="F79" s="11">
        <v>16508</v>
      </c>
    </row>
    <row r="80" spans="1:6" x14ac:dyDescent="0.3">
      <c r="A80" s="17">
        <v>45880</v>
      </c>
      <c r="B80" s="11" t="s">
        <v>418</v>
      </c>
      <c r="C80" s="11" t="s">
        <v>419</v>
      </c>
      <c r="D80" s="11" t="s">
        <v>81</v>
      </c>
      <c r="E80" s="11">
        <v>9</v>
      </c>
      <c r="F80" s="11">
        <v>36816</v>
      </c>
    </row>
    <row r="81" spans="1:6" x14ac:dyDescent="0.3">
      <c r="A81" s="17">
        <v>45883</v>
      </c>
      <c r="B81" s="11" t="s">
        <v>414</v>
      </c>
      <c r="C81" s="11" t="s">
        <v>417</v>
      </c>
      <c r="D81" s="11" t="s">
        <v>81</v>
      </c>
      <c r="E81" s="11">
        <v>6</v>
      </c>
      <c r="F81" s="11">
        <v>15882</v>
      </c>
    </row>
    <row r="82" spans="1:6" x14ac:dyDescent="0.3">
      <c r="A82" s="17">
        <v>45886</v>
      </c>
      <c r="B82" s="11" t="s">
        <v>414</v>
      </c>
      <c r="C82" s="11" t="s">
        <v>413</v>
      </c>
      <c r="D82" s="11" t="s">
        <v>61</v>
      </c>
      <c r="E82" s="11">
        <v>5</v>
      </c>
      <c r="F82" s="11">
        <v>149888</v>
      </c>
    </row>
    <row r="83" spans="1:6" x14ac:dyDescent="0.3">
      <c r="A83" s="17">
        <v>45889</v>
      </c>
      <c r="B83" s="11" t="s">
        <v>416</v>
      </c>
      <c r="C83" s="11" t="s">
        <v>417</v>
      </c>
      <c r="D83" s="11" t="s">
        <v>54</v>
      </c>
      <c r="E83" s="11">
        <v>6</v>
      </c>
      <c r="F83" s="11">
        <v>13979</v>
      </c>
    </row>
    <row r="84" spans="1:6" x14ac:dyDescent="0.3">
      <c r="A84" s="17">
        <v>45892</v>
      </c>
      <c r="B84" s="11" t="s">
        <v>412</v>
      </c>
      <c r="C84" s="11" t="s">
        <v>421</v>
      </c>
      <c r="D84" s="11" t="s">
        <v>54</v>
      </c>
      <c r="E84" s="11">
        <v>12</v>
      </c>
      <c r="F84" s="11">
        <v>265966</v>
      </c>
    </row>
    <row r="85" spans="1:6" x14ac:dyDescent="0.3">
      <c r="A85" s="17">
        <v>45895</v>
      </c>
      <c r="B85" s="11" t="s">
        <v>418</v>
      </c>
      <c r="C85" s="11" t="s">
        <v>417</v>
      </c>
      <c r="D85" s="11" t="s">
        <v>85</v>
      </c>
      <c r="E85" s="11">
        <v>9</v>
      </c>
      <c r="F85" s="11">
        <v>25388</v>
      </c>
    </row>
    <row r="86" spans="1:6" x14ac:dyDescent="0.3">
      <c r="A86" s="17">
        <v>45898</v>
      </c>
      <c r="B86" s="11" t="s">
        <v>418</v>
      </c>
      <c r="C86" s="11" t="s">
        <v>415</v>
      </c>
      <c r="D86" s="11" t="s">
        <v>54</v>
      </c>
      <c r="E86" s="11">
        <v>5</v>
      </c>
      <c r="F86" s="11">
        <v>274863</v>
      </c>
    </row>
    <row r="87" spans="1:6" x14ac:dyDescent="0.3">
      <c r="A87" s="17">
        <v>45901</v>
      </c>
      <c r="B87" s="11" t="s">
        <v>418</v>
      </c>
      <c r="C87" s="11" t="s">
        <v>421</v>
      </c>
      <c r="D87" s="11" t="s">
        <v>61</v>
      </c>
      <c r="E87" s="11">
        <v>1</v>
      </c>
      <c r="F87" s="11">
        <v>24375</v>
      </c>
    </row>
    <row r="88" spans="1:6" x14ac:dyDescent="0.3">
      <c r="A88" s="17">
        <v>45904</v>
      </c>
      <c r="B88" s="11" t="s">
        <v>412</v>
      </c>
      <c r="C88" s="11" t="s">
        <v>413</v>
      </c>
      <c r="D88" s="11" t="s">
        <v>36</v>
      </c>
      <c r="E88" s="11">
        <v>1</v>
      </c>
      <c r="F88" s="11">
        <v>32533</v>
      </c>
    </row>
    <row r="89" spans="1:6" x14ac:dyDescent="0.3">
      <c r="A89" s="17">
        <v>45907</v>
      </c>
      <c r="B89" s="11" t="s">
        <v>418</v>
      </c>
      <c r="C89" s="11" t="s">
        <v>417</v>
      </c>
      <c r="D89" s="11" t="s">
        <v>47</v>
      </c>
      <c r="E89" s="11">
        <v>11</v>
      </c>
      <c r="F89" s="11">
        <v>29521</v>
      </c>
    </row>
    <row r="90" spans="1:6" x14ac:dyDescent="0.3">
      <c r="A90" s="17">
        <v>45910</v>
      </c>
      <c r="B90" s="11" t="s">
        <v>416</v>
      </c>
      <c r="C90" s="11" t="s">
        <v>415</v>
      </c>
      <c r="D90" s="11" t="s">
        <v>85</v>
      </c>
      <c r="E90" s="11">
        <v>5</v>
      </c>
      <c r="F90" s="11">
        <v>276845</v>
      </c>
    </row>
    <row r="91" spans="1:6" x14ac:dyDescent="0.3">
      <c r="A91" s="17">
        <v>45913</v>
      </c>
      <c r="B91" s="11" t="s">
        <v>414</v>
      </c>
      <c r="C91" s="11" t="s">
        <v>419</v>
      </c>
      <c r="D91" s="11" t="s">
        <v>64</v>
      </c>
      <c r="E91" s="11">
        <v>3</v>
      </c>
      <c r="F91" s="11">
        <v>10420</v>
      </c>
    </row>
    <row r="92" spans="1:6" x14ac:dyDescent="0.3">
      <c r="A92" s="17">
        <v>45916</v>
      </c>
      <c r="B92" s="11" t="s">
        <v>418</v>
      </c>
      <c r="C92" s="11" t="s">
        <v>419</v>
      </c>
      <c r="D92" s="11" t="s">
        <v>43</v>
      </c>
      <c r="E92" s="11">
        <v>2</v>
      </c>
      <c r="F92" s="11">
        <v>9282</v>
      </c>
    </row>
    <row r="93" spans="1:6" x14ac:dyDescent="0.3">
      <c r="A93" s="17">
        <v>45919</v>
      </c>
      <c r="B93" s="11" t="s">
        <v>414</v>
      </c>
      <c r="C93" s="11" t="s">
        <v>415</v>
      </c>
      <c r="D93" s="11" t="s">
        <v>85</v>
      </c>
      <c r="E93" s="11">
        <v>11</v>
      </c>
      <c r="F93" s="11">
        <v>603439</v>
      </c>
    </row>
    <row r="94" spans="1:6" x14ac:dyDescent="0.3">
      <c r="A94" s="17">
        <v>45922</v>
      </c>
      <c r="B94" s="11" t="s">
        <v>412</v>
      </c>
      <c r="C94" s="11" t="s">
        <v>421</v>
      </c>
      <c r="D94" s="11" t="s">
        <v>85</v>
      </c>
      <c r="E94" s="11">
        <v>5</v>
      </c>
      <c r="F94" s="11">
        <v>108697</v>
      </c>
    </row>
    <row r="95" spans="1:6" x14ac:dyDescent="0.3">
      <c r="A95" s="17">
        <v>45925</v>
      </c>
      <c r="B95" s="11" t="s">
        <v>412</v>
      </c>
      <c r="C95" s="11" t="s">
        <v>415</v>
      </c>
      <c r="D95" s="11" t="s">
        <v>81</v>
      </c>
      <c r="E95" s="11">
        <v>7</v>
      </c>
      <c r="F95" s="11">
        <v>387966</v>
      </c>
    </row>
    <row r="96" spans="1:6" x14ac:dyDescent="0.3">
      <c r="A96" s="17">
        <v>45928</v>
      </c>
      <c r="B96" s="11" t="s">
        <v>412</v>
      </c>
      <c r="C96" s="11" t="s">
        <v>420</v>
      </c>
      <c r="D96" s="11" t="s">
        <v>70</v>
      </c>
      <c r="E96" s="11">
        <v>8</v>
      </c>
      <c r="F96" s="11">
        <v>97626</v>
      </c>
    </row>
    <row r="97" spans="1:12" x14ac:dyDescent="0.3">
      <c r="A97" s="17">
        <v>45931</v>
      </c>
      <c r="B97" s="11" t="s">
        <v>418</v>
      </c>
      <c r="C97" s="11" t="s">
        <v>420</v>
      </c>
      <c r="D97" s="11" t="s">
        <v>72</v>
      </c>
      <c r="E97" s="11">
        <v>5</v>
      </c>
      <c r="F97" s="11">
        <v>62658</v>
      </c>
    </row>
    <row r="98" spans="1:12" x14ac:dyDescent="0.3">
      <c r="A98" s="17">
        <v>45934</v>
      </c>
      <c r="B98" s="11" t="s">
        <v>416</v>
      </c>
      <c r="C98" s="11" t="s">
        <v>420</v>
      </c>
      <c r="D98" s="11" t="s">
        <v>95</v>
      </c>
      <c r="E98" s="11">
        <v>2</v>
      </c>
      <c r="F98" s="11">
        <v>23702</v>
      </c>
    </row>
    <row r="99" spans="1:12" x14ac:dyDescent="0.3">
      <c r="A99" s="17">
        <v>45937</v>
      </c>
      <c r="B99" s="11" t="s">
        <v>412</v>
      </c>
      <c r="C99" s="11" t="s">
        <v>413</v>
      </c>
      <c r="D99" s="11" t="s">
        <v>91</v>
      </c>
      <c r="E99" s="11">
        <v>2</v>
      </c>
      <c r="F99" s="11">
        <v>59286</v>
      </c>
    </row>
    <row r="100" spans="1:12" x14ac:dyDescent="0.3">
      <c r="A100" s="17">
        <v>45940</v>
      </c>
      <c r="B100" s="11" t="s">
        <v>412</v>
      </c>
      <c r="C100" s="11" t="s">
        <v>421</v>
      </c>
      <c r="D100" s="11" t="s">
        <v>81</v>
      </c>
      <c r="E100" s="11">
        <v>2</v>
      </c>
      <c r="F100" s="11">
        <v>43282</v>
      </c>
    </row>
    <row r="101" spans="1:12" x14ac:dyDescent="0.3">
      <c r="A101" s="17">
        <v>45943</v>
      </c>
      <c r="B101" s="11" t="s">
        <v>416</v>
      </c>
      <c r="C101" s="11" t="s">
        <v>419</v>
      </c>
      <c r="D101" s="11" t="s">
        <v>75</v>
      </c>
      <c r="E101" s="11">
        <v>12</v>
      </c>
      <c r="F101" s="11">
        <v>50864</v>
      </c>
    </row>
    <row r="102" spans="1:12" x14ac:dyDescent="0.3">
      <c r="A102" s="17">
        <v>45946</v>
      </c>
      <c r="B102" s="11" t="s">
        <v>414</v>
      </c>
      <c r="C102" s="11" t="s">
        <v>413</v>
      </c>
      <c r="D102" s="11" t="s">
        <v>36</v>
      </c>
      <c r="E102" s="11">
        <v>4</v>
      </c>
      <c r="F102" s="11">
        <v>120360</v>
      </c>
    </row>
    <row r="103" spans="1:12" x14ac:dyDescent="0.3">
      <c r="A103" s="17">
        <v>45949</v>
      </c>
      <c r="B103" s="11" t="s">
        <v>418</v>
      </c>
      <c r="C103" s="11" t="s">
        <v>417</v>
      </c>
      <c r="D103" s="11" t="s">
        <v>75</v>
      </c>
      <c r="E103" s="11">
        <v>2</v>
      </c>
      <c r="F103" s="11">
        <v>4912</v>
      </c>
    </row>
    <row r="104" spans="1:12" x14ac:dyDescent="0.3">
      <c r="A104" s="17">
        <v>45952</v>
      </c>
      <c r="B104" s="11" t="s">
        <v>418</v>
      </c>
      <c r="C104" s="11" t="s">
        <v>417</v>
      </c>
      <c r="D104" s="11" t="s">
        <v>85</v>
      </c>
      <c r="E104" s="11">
        <v>11</v>
      </c>
      <c r="F104" s="11">
        <v>27120</v>
      </c>
    </row>
    <row r="105" spans="1:12" x14ac:dyDescent="0.3">
      <c r="A105" s="17">
        <v>45955</v>
      </c>
      <c r="B105" s="11" t="s">
        <v>414</v>
      </c>
      <c r="C105" s="11" t="s">
        <v>415</v>
      </c>
      <c r="D105" s="11" t="s">
        <v>81</v>
      </c>
      <c r="E105" s="11">
        <v>4</v>
      </c>
      <c r="F105" s="11">
        <v>219220</v>
      </c>
    </row>
    <row r="108" spans="1:12" x14ac:dyDescent="0.3">
      <c r="A108" s="10" t="s">
        <v>148</v>
      </c>
      <c r="B108" s="10" t="s">
        <v>149</v>
      </c>
      <c r="C108" s="10" t="s">
        <v>150</v>
      </c>
      <c r="D108" s="10" t="s">
        <v>151</v>
      </c>
      <c r="E108" s="10" t="s">
        <v>152</v>
      </c>
      <c r="F108" s="10" t="s">
        <v>153</v>
      </c>
      <c r="H108" s="64" t="s">
        <v>587</v>
      </c>
      <c r="I108" s="64" t="s">
        <v>521</v>
      </c>
      <c r="J108" s="65"/>
      <c r="L108" t="s">
        <v>515</v>
      </c>
    </row>
    <row r="109" spans="1:12" ht="28.8" x14ac:dyDescent="0.3">
      <c r="A109" s="11">
        <v>1</v>
      </c>
      <c r="B109" s="11" t="s">
        <v>487</v>
      </c>
      <c r="C109" s="12" t="s">
        <v>3</v>
      </c>
      <c r="D109" s="11" t="s">
        <v>488</v>
      </c>
      <c r="E109" s="11">
        <f>SUM($F$6:$F$105)</f>
        <v>11844895</v>
      </c>
      <c r="F109" s="11" t="s">
        <v>489</v>
      </c>
      <c r="H109" s="65">
        <v>1</v>
      </c>
      <c r="I109" s="65" t="s">
        <v>588</v>
      </c>
      <c r="J109" s="65">
        <f>SUM(F6:F105)</f>
        <v>11844895</v>
      </c>
      <c r="L109">
        <v>6</v>
      </c>
    </row>
    <row r="110" spans="1:12" ht="28.8" x14ac:dyDescent="0.3">
      <c r="A110" s="11">
        <v>2</v>
      </c>
      <c r="B110" s="11" t="s">
        <v>490</v>
      </c>
      <c r="C110" s="12" t="s">
        <v>3</v>
      </c>
      <c r="D110" s="11" t="s">
        <v>491</v>
      </c>
      <c r="E110" s="11">
        <f>SUM($E$6:$E$105)</f>
        <v>627</v>
      </c>
      <c r="F110" s="11" t="s">
        <v>489</v>
      </c>
      <c r="H110" s="65"/>
      <c r="I110" s="65" t="s">
        <v>589</v>
      </c>
      <c r="J110" s="65">
        <f>SUM(E6:E105)</f>
        <v>627</v>
      </c>
    </row>
    <row r="111" spans="1:12" ht="28.8" x14ac:dyDescent="0.3">
      <c r="A111" s="11">
        <v>3</v>
      </c>
      <c r="B111" s="11" t="s">
        <v>492</v>
      </c>
      <c r="C111" s="12" t="s">
        <v>3</v>
      </c>
      <c r="D111" s="11" t="s">
        <v>493</v>
      </c>
      <c r="E111" s="11">
        <f>COUNTA($A$6:$A$105)</f>
        <v>100</v>
      </c>
      <c r="F111" s="11" t="s">
        <v>489</v>
      </c>
      <c r="H111" s="65"/>
      <c r="I111" s="65" t="s">
        <v>590</v>
      </c>
      <c r="J111" s="65">
        <f>COUNTA(A6:A105)</f>
        <v>100</v>
      </c>
    </row>
    <row r="112" spans="1:12" ht="28.8" x14ac:dyDescent="0.3">
      <c r="A112" s="11">
        <v>4</v>
      </c>
      <c r="B112" s="11" t="s">
        <v>465</v>
      </c>
      <c r="C112" s="13" t="s">
        <v>4</v>
      </c>
      <c r="D112" s="11" t="s">
        <v>466</v>
      </c>
      <c r="E112" s="11" t="e">
        <f>region Pivot Table</f>
        <v>#NAME?</v>
      </c>
      <c r="F112" s="11" t="s">
        <v>489</v>
      </c>
      <c r="H112" s="69">
        <v>2</v>
      </c>
      <c r="I112" s="70" t="s">
        <v>533</v>
      </c>
      <c r="J112" s="69" t="s">
        <v>532</v>
      </c>
    </row>
    <row r="113" spans="1:17" ht="28.8" x14ac:dyDescent="0.3">
      <c r="A113" s="11">
        <v>5</v>
      </c>
      <c r="B113" s="11" t="s">
        <v>468</v>
      </c>
      <c r="C113" s="13" t="s">
        <v>4</v>
      </c>
      <c r="D113" s="11" t="s">
        <v>469</v>
      </c>
      <c r="E113" s="11" t="e">
        <f>product Pivot chart</f>
        <v>#NAME?</v>
      </c>
      <c r="F113" s="11" t="s">
        <v>489</v>
      </c>
      <c r="H113" s="69"/>
      <c r="I113" s="71" t="s">
        <v>418</v>
      </c>
      <c r="J113" s="72">
        <v>2402395</v>
      </c>
    </row>
    <row r="114" spans="1:17" ht="28.8" x14ac:dyDescent="0.3">
      <c r="A114" s="11">
        <v>6</v>
      </c>
      <c r="B114" s="11" t="s">
        <v>494</v>
      </c>
      <c r="C114" s="13" t="s">
        <v>4</v>
      </c>
      <c r="D114" s="11" t="s">
        <v>495</v>
      </c>
      <c r="E114" s="11" t="e">
        <f>Slicer on region</f>
        <v>#NAME?</v>
      </c>
      <c r="F114" s="11" t="s">
        <v>489</v>
      </c>
      <c r="H114" s="69"/>
      <c r="I114" s="71" t="s">
        <v>416</v>
      </c>
      <c r="J114" s="72">
        <v>1389769</v>
      </c>
      <c r="L114">
        <v>7</v>
      </c>
      <c r="M114" s="66" t="s">
        <v>533</v>
      </c>
      <c r="N114" s="65" t="s">
        <v>532</v>
      </c>
      <c r="P114" s="66" t="s">
        <v>533</v>
      </c>
      <c r="Q114" s="65" t="s">
        <v>532</v>
      </c>
    </row>
    <row r="115" spans="1:17" ht="28.8" x14ac:dyDescent="0.3">
      <c r="A115" s="11">
        <v>7</v>
      </c>
      <c r="B115" s="11" t="s">
        <v>496</v>
      </c>
      <c r="C115" s="14" t="s">
        <v>5</v>
      </c>
      <c r="D115" s="11" t="s">
        <v>497</v>
      </c>
      <c r="E115" s="11" t="e">
        <f>INDEX/MATCH best region</f>
        <v>#NAME?</v>
      </c>
      <c r="F115" s="11" t="s">
        <v>489</v>
      </c>
      <c r="H115" s="69"/>
      <c r="I115" s="71" t="s">
        <v>412</v>
      </c>
      <c r="J115" s="72">
        <v>3929486</v>
      </c>
      <c r="M115" s="67" t="s">
        <v>414</v>
      </c>
      <c r="N115" s="68">
        <v>4123245</v>
      </c>
      <c r="P115" s="67" t="s">
        <v>415</v>
      </c>
      <c r="Q115" s="68">
        <v>5558838</v>
      </c>
    </row>
    <row r="116" spans="1:17" ht="28.8" x14ac:dyDescent="0.3">
      <c r="A116" s="11">
        <v>8</v>
      </c>
      <c r="B116" s="11" t="s">
        <v>498</v>
      </c>
      <c r="C116" s="14" t="s">
        <v>5</v>
      </c>
      <c r="D116" s="11" t="s">
        <v>499</v>
      </c>
      <c r="E116" s="11" t="e">
        <f>Integrated Pivot layout</f>
        <v>#NAME?</v>
      </c>
      <c r="F116" s="11" t="s">
        <v>489</v>
      </c>
      <c r="H116" s="69"/>
      <c r="I116" s="71" t="s">
        <v>414</v>
      </c>
      <c r="J116" s="72">
        <v>4123245</v>
      </c>
      <c r="M116" s="67" t="s">
        <v>534</v>
      </c>
      <c r="N116" s="68">
        <v>4123245</v>
      </c>
      <c r="P116" s="67" t="s">
        <v>534</v>
      </c>
      <c r="Q116" s="68">
        <v>5558838</v>
      </c>
    </row>
    <row r="117" spans="1:17" ht="28.8" x14ac:dyDescent="0.3">
      <c r="A117" s="11">
        <v>9</v>
      </c>
      <c r="B117" s="11" t="s">
        <v>500</v>
      </c>
      <c r="C117" s="14" t="s">
        <v>5</v>
      </c>
      <c r="D117" s="11" t="s">
        <v>501</v>
      </c>
      <c r="E117" s="11" t="e">
        <f>Corporate formatting</f>
        <v>#NAME?</v>
      </c>
      <c r="F117" s="11" t="s">
        <v>489</v>
      </c>
      <c r="H117" s="69"/>
      <c r="I117" s="67" t="s">
        <v>534</v>
      </c>
      <c r="J117" s="68">
        <v>11844895</v>
      </c>
    </row>
    <row r="118" spans="1:17" ht="43.2" x14ac:dyDescent="0.3">
      <c r="A118" s="11">
        <v>10</v>
      </c>
      <c r="B118" s="11" t="s">
        <v>502</v>
      </c>
      <c r="C118" s="15" t="s">
        <v>6</v>
      </c>
      <c r="D118" s="11" t="s">
        <v>503</v>
      </c>
      <c r="E118" s="11" t="e">
        <f>interactive dashboard project</f>
        <v>#NAME?</v>
      </c>
      <c r="F118" s="11" t="s">
        <v>489</v>
      </c>
      <c r="H118" s="69">
        <v>3</v>
      </c>
      <c r="I118" s="70" t="s">
        <v>533</v>
      </c>
      <c r="J118" s="69" t="s">
        <v>532</v>
      </c>
    </row>
    <row r="119" spans="1:17" x14ac:dyDescent="0.3">
      <c r="H119" s="69"/>
      <c r="I119" s="71" t="s">
        <v>419</v>
      </c>
      <c r="J119" s="72">
        <v>665987</v>
      </c>
    </row>
    <row r="120" spans="1:17" x14ac:dyDescent="0.3">
      <c r="H120" s="69"/>
      <c r="I120" s="71" t="s">
        <v>417</v>
      </c>
      <c r="J120" s="72">
        <v>327841</v>
      </c>
    </row>
    <row r="121" spans="1:17" x14ac:dyDescent="0.3">
      <c r="H121" s="69"/>
      <c r="I121" s="71" t="s">
        <v>415</v>
      </c>
      <c r="J121" s="72">
        <v>5558838</v>
      </c>
    </row>
    <row r="122" spans="1:17" x14ac:dyDescent="0.3">
      <c r="H122" s="69"/>
      <c r="I122" s="71" t="s">
        <v>421</v>
      </c>
      <c r="J122" s="72">
        <v>1943801</v>
      </c>
    </row>
    <row r="123" spans="1:17" x14ac:dyDescent="0.3">
      <c r="H123" s="69"/>
      <c r="I123" s="71" t="s">
        <v>420</v>
      </c>
      <c r="J123" s="72">
        <v>829400</v>
      </c>
    </row>
    <row r="124" spans="1:17" x14ac:dyDescent="0.3">
      <c r="H124" s="69"/>
      <c r="I124" s="71" t="s">
        <v>413</v>
      </c>
      <c r="J124" s="72">
        <v>2519028</v>
      </c>
    </row>
    <row r="125" spans="1:17" x14ac:dyDescent="0.3">
      <c r="H125" s="69"/>
      <c r="I125" s="71" t="s">
        <v>534</v>
      </c>
      <c r="J125" s="72">
        <v>11844895</v>
      </c>
    </row>
    <row r="126" spans="1:17" x14ac:dyDescent="0.3">
      <c r="H126" s="69">
        <v>4</v>
      </c>
      <c r="I126" s="69"/>
      <c r="J126" s="69"/>
    </row>
    <row r="127" spans="1:17" x14ac:dyDescent="0.3">
      <c r="H127" s="69"/>
      <c r="I127" s="69"/>
      <c r="J127" s="69"/>
    </row>
    <row r="128" spans="1:17" x14ac:dyDescent="0.3">
      <c r="H128" s="69"/>
      <c r="I128" s="69"/>
      <c r="J128" s="69"/>
    </row>
    <row r="129" spans="8:16" x14ac:dyDescent="0.3">
      <c r="H129" s="69"/>
      <c r="I129" s="69"/>
      <c r="J129" s="69"/>
    </row>
    <row r="130" spans="8:16" x14ac:dyDescent="0.3">
      <c r="H130" s="69"/>
      <c r="I130" s="69"/>
      <c r="J130" s="69"/>
    </row>
    <row r="131" spans="8:16" x14ac:dyDescent="0.3">
      <c r="H131" s="69"/>
      <c r="I131" s="69"/>
      <c r="J131" s="69"/>
      <c r="L131">
        <v>8</v>
      </c>
      <c r="M131" s="65" t="s">
        <v>588</v>
      </c>
      <c r="N131" s="65" t="s">
        <v>589</v>
      </c>
      <c r="O131" s="65" t="s">
        <v>590</v>
      </c>
      <c r="P131" s="65"/>
    </row>
    <row r="132" spans="8:16" x14ac:dyDescent="0.3">
      <c r="H132" s="69"/>
      <c r="I132" s="69"/>
      <c r="J132" s="69"/>
      <c r="M132" s="65">
        <f>SUM(F6:F105)</f>
        <v>11844895</v>
      </c>
      <c r="N132" s="65">
        <f>SUM(E6:E105)</f>
        <v>627</v>
      </c>
      <c r="O132" s="65">
        <f>COUNTA(A6:A105)</f>
        <v>100</v>
      </c>
      <c r="P132" s="65"/>
    </row>
    <row r="133" spans="8:16" x14ac:dyDescent="0.3">
      <c r="H133" s="69"/>
      <c r="I133" s="69"/>
      <c r="J133" s="69"/>
    </row>
    <row r="134" spans="8:16" x14ac:dyDescent="0.3">
      <c r="H134" s="69"/>
      <c r="I134" s="69"/>
      <c r="J134" s="69"/>
    </row>
    <row r="135" spans="8:16" x14ac:dyDescent="0.3">
      <c r="H135" s="69"/>
      <c r="I135" s="69"/>
      <c r="J135" s="69"/>
    </row>
    <row r="136" spans="8:16" x14ac:dyDescent="0.3">
      <c r="H136" s="69">
        <v>5</v>
      </c>
      <c r="I136" s="69"/>
      <c r="J136" s="69"/>
    </row>
    <row r="137" spans="8:16" x14ac:dyDescent="0.3">
      <c r="H137" s="69"/>
      <c r="I137" s="69"/>
      <c r="J137" s="69"/>
    </row>
    <row r="138" spans="8:16" x14ac:dyDescent="0.3">
      <c r="H138" s="69"/>
      <c r="I138" s="69"/>
      <c r="J138" s="69"/>
    </row>
    <row r="139" spans="8:16" x14ac:dyDescent="0.3">
      <c r="H139" s="69"/>
      <c r="I139" s="69"/>
      <c r="J139" s="69"/>
    </row>
    <row r="140" spans="8:16" x14ac:dyDescent="0.3">
      <c r="H140" s="69"/>
      <c r="I140" s="69"/>
      <c r="J140" s="69"/>
    </row>
    <row r="141" spans="8:16" x14ac:dyDescent="0.3">
      <c r="H141" s="69"/>
      <c r="I141" s="69"/>
      <c r="J141" s="69"/>
    </row>
    <row r="142" spans="8:16" x14ac:dyDescent="0.3">
      <c r="H142" s="69"/>
      <c r="I142" s="69"/>
      <c r="J142" s="69"/>
    </row>
    <row r="143" spans="8:16" x14ac:dyDescent="0.3">
      <c r="H143" s="69"/>
      <c r="I143" s="69"/>
      <c r="J143" s="69"/>
    </row>
    <row r="144" spans="8:16" x14ac:dyDescent="0.3">
      <c r="H144" s="69"/>
      <c r="I144" s="69"/>
      <c r="J144" s="69"/>
    </row>
    <row r="145" spans="8:11" x14ac:dyDescent="0.3">
      <c r="H145" s="69"/>
      <c r="I145" s="69"/>
      <c r="J145" s="69"/>
    </row>
    <row r="146" spans="8:11" x14ac:dyDescent="0.3">
      <c r="H146" s="69"/>
      <c r="I146" s="69"/>
      <c r="J146" s="69"/>
    </row>
    <row r="147" spans="8:11" x14ac:dyDescent="0.3">
      <c r="H147" s="69"/>
      <c r="I147" s="69"/>
      <c r="J147" s="69"/>
    </row>
    <row r="148" spans="8:11" x14ac:dyDescent="0.3">
      <c r="H148">
        <v>10</v>
      </c>
      <c r="I148" t="s">
        <v>591</v>
      </c>
    </row>
    <row r="149" spans="8:11" x14ac:dyDescent="0.3">
      <c r="I149" t="s">
        <v>592</v>
      </c>
    </row>
    <row r="150" spans="8:11" x14ac:dyDescent="0.3">
      <c r="I150" t="s">
        <v>593</v>
      </c>
      <c r="K150" s="69"/>
    </row>
  </sheetData>
  <pageMargins left="0.75" right="0.75" top="1" bottom="1" header="0.5" footer="0.5"/>
  <drawing r:id="rId5"/>
  <extLst>
    <ext xmlns:x14="http://schemas.microsoft.com/office/spreadsheetml/2009/9/main" uri="{A8765BA9-456A-4dab-B4F3-ACF838C121DE}">
      <x14:slicerList>
        <x14:slicer r:id="rId6"/>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154"/>
  <sheetViews>
    <sheetView showGridLines="0" workbookViewId="0">
      <pane ySplit="3" topLeftCell="A4" activePane="bottomLeft" state="frozen"/>
      <selection pane="bottomLeft"/>
    </sheetView>
  </sheetViews>
  <sheetFormatPr defaultRowHeight="14.4" x14ac:dyDescent="0.3"/>
  <cols>
    <col min="1" max="1" width="18" customWidth="1"/>
    <col min="2" max="2" width="12" customWidth="1"/>
    <col min="3" max="3" width="14" customWidth="1"/>
    <col min="4" max="4" width="42" customWidth="1"/>
    <col min="5" max="5" width="24" customWidth="1"/>
    <col min="6" max="7" width="40" customWidth="1"/>
  </cols>
  <sheetData>
    <row r="1" spans="1:7" ht="24" customHeight="1" x14ac:dyDescent="0.4">
      <c r="A1" s="1" t="s">
        <v>504</v>
      </c>
    </row>
    <row r="2" spans="1:7" x14ac:dyDescent="0.3">
      <c r="A2" s="2" t="s">
        <v>505</v>
      </c>
    </row>
    <row r="4" spans="1:7" ht="22.05" customHeight="1" x14ac:dyDescent="0.3">
      <c r="A4" s="8" t="s">
        <v>506</v>
      </c>
      <c r="B4" s="8" t="s">
        <v>148</v>
      </c>
      <c r="C4" s="8" t="s">
        <v>150</v>
      </c>
      <c r="D4" s="8" t="s">
        <v>149</v>
      </c>
      <c r="E4" s="8" t="s">
        <v>151</v>
      </c>
      <c r="F4" s="8" t="s">
        <v>152</v>
      </c>
      <c r="G4" s="8" t="s">
        <v>153</v>
      </c>
    </row>
    <row r="5" spans="1:7" ht="28.8" x14ac:dyDescent="0.3">
      <c r="A5" s="11" t="s">
        <v>507</v>
      </c>
      <c r="B5" s="11">
        <v>1</v>
      </c>
      <c r="C5" s="12" t="s">
        <v>3</v>
      </c>
      <c r="D5" s="11" t="s">
        <v>154</v>
      </c>
      <c r="E5" s="11" t="s">
        <v>32</v>
      </c>
      <c r="F5" s="11" t="e">
        <f>VLOOKUP("E103",$A$6:$H$55,3,FALSE)</f>
        <v>#N/A</v>
      </c>
      <c r="G5" s="11" t="s">
        <v>155</v>
      </c>
    </row>
    <row r="6" spans="1:7" ht="28.8" x14ac:dyDescent="0.3">
      <c r="A6" s="11" t="s">
        <v>507</v>
      </c>
      <c r="B6" s="11">
        <v>2</v>
      </c>
      <c r="C6" s="12" t="s">
        <v>3</v>
      </c>
      <c r="D6" s="11" t="s">
        <v>156</v>
      </c>
      <c r="E6" s="11" t="s">
        <v>157</v>
      </c>
      <c r="F6" s="11" t="e">
        <f>VLOOKUP("E105",$A$6:$H$55,5,FALSE)</f>
        <v>#N/A</v>
      </c>
      <c r="G6" s="11" t="s">
        <v>155</v>
      </c>
    </row>
    <row r="7" spans="1:7" ht="28.8" x14ac:dyDescent="0.3">
      <c r="A7" s="11" t="s">
        <v>507</v>
      </c>
      <c r="B7" s="11">
        <v>3</v>
      </c>
      <c r="C7" s="12" t="s">
        <v>3</v>
      </c>
      <c r="D7" s="11" t="s">
        <v>158</v>
      </c>
      <c r="E7" s="11" t="s">
        <v>36</v>
      </c>
      <c r="F7" s="11" t="e">
        <f>VLOOKUP("E102",$A$6:$H$55,2,FALSE)</f>
        <v>#N/A</v>
      </c>
      <c r="G7" s="11" t="s">
        <v>155</v>
      </c>
    </row>
    <row r="8" spans="1:7" ht="28.8" x14ac:dyDescent="0.3">
      <c r="A8" s="11" t="s">
        <v>507</v>
      </c>
      <c r="B8" s="11">
        <v>4</v>
      </c>
      <c r="C8" s="13" t="s">
        <v>4</v>
      </c>
      <c r="D8" s="11" t="s">
        <v>159</v>
      </c>
      <c r="E8" s="11" t="s">
        <v>62</v>
      </c>
      <c r="F8" s="11" t="e">
        <f>VLOOKUP("E110",$A$6:$H$55,4,FALSE)</f>
        <v>#N/A</v>
      </c>
      <c r="G8" s="11" t="s">
        <v>155</v>
      </c>
    </row>
    <row r="9" spans="1:7" ht="28.8" x14ac:dyDescent="0.3">
      <c r="A9" s="11" t="s">
        <v>507</v>
      </c>
      <c r="B9" s="11">
        <v>5</v>
      </c>
      <c r="C9" s="13" t="s">
        <v>4</v>
      </c>
      <c r="D9" s="11" t="s">
        <v>160</v>
      </c>
      <c r="E9" s="11" t="s">
        <v>161</v>
      </c>
      <c r="F9" s="11" t="e">
        <f>VLOOKUP("E106",$A$6:$H$55,5,FALSE)</f>
        <v>#N/A</v>
      </c>
      <c r="G9" s="11" t="s">
        <v>155</v>
      </c>
    </row>
    <row r="10" spans="1:7" ht="28.8" x14ac:dyDescent="0.3">
      <c r="A10" s="11" t="s">
        <v>507</v>
      </c>
      <c r="B10" s="11">
        <v>6</v>
      </c>
      <c r="C10" s="13" t="s">
        <v>4</v>
      </c>
      <c r="D10" s="11" t="s">
        <v>162</v>
      </c>
      <c r="E10" s="11" t="s">
        <v>163</v>
      </c>
      <c r="F10" s="11" t="str">
        <f>IFERROR(VLOOKUP("E999",$A$6:$H$55,2,FALSE),"Employee Not Found")</f>
        <v>Employee Not Found</v>
      </c>
      <c r="G10" s="11" t="s">
        <v>155</v>
      </c>
    </row>
    <row r="11" spans="1:7" ht="28.8" x14ac:dyDescent="0.3">
      <c r="A11" s="11" t="s">
        <v>507</v>
      </c>
      <c r="B11" s="11">
        <v>7</v>
      </c>
      <c r="C11" s="14" t="s">
        <v>5</v>
      </c>
      <c r="D11" s="11" t="s">
        <v>164</v>
      </c>
      <c r="E11" s="11" t="s">
        <v>165</v>
      </c>
      <c r="F11" s="11" t="e">
        <f>VLOOKUP("E104",$A$6:$H$55,2,FALSE)&amp;" - "&amp;VLOOKUP("E104",$A$6:$H$55,3,FALSE)</f>
        <v>#N/A</v>
      </c>
      <c r="G11" s="11" t="s">
        <v>155</v>
      </c>
    </row>
    <row r="12" spans="1:7" ht="28.8" x14ac:dyDescent="0.3">
      <c r="A12" s="11" t="s">
        <v>507</v>
      </c>
      <c r="B12" s="11">
        <v>8</v>
      </c>
      <c r="C12" s="14" t="s">
        <v>5</v>
      </c>
      <c r="D12" s="11" t="s">
        <v>166</v>
      </c>
      <c r="E12" s="11" t="s">
        <v>167</v>
      </c>
      <c r="F12" s="11" t="e">
        <f>IF(VLOOKUP("E106",$A$6:$H$55,5,FALSE)&gt;50000,"High Salary","Normal Salary")</f>
        <v>#N/A</v>
      </c>
      <c r="G12" s="11" t="s">
        <v>155</v>
      </c>
    </row>
    <row r="13" spans="1:7" ht="28.8" x14ac:dyDescent="0.3">
      <c r="A13" s="11" t="s">
        <v>507</v>
      </c>
      <c r="B13" s="11">
        <v>9</v>
      </c>
      <c r="C13" s="14" t="s">
        <v>5</v>
      </c>
      <c r="D13" s="11" t="s">
        <v>168</v>
      </c>
      <c r="E13" s="11" t="s">
        <v>34</v>
      </c>
      <c r="F13" s="11" t="str">
        <f>IFERROR(VLOOKUP("E107",$A$6:$H$55,7,FALSE),"Not Available")</f>
        <v>Not Available</v>
      </c>
      <c r="G13" s="11" t="s">
        <v>155</v>
      </c>
    </row>
    <row r="14" spans="1:7" ht="43.2" x14ac:dyDescent="0.3">
      <c r="A14" s="11" t="s">
        <v>507</v>
      </c>
      <c r="B14" s="11">
        <v>10</v>
      </c>
      <c r="C14" s="15" t="s">
        <v>6</v>
      </c>
      <c r="D14" s="11" t="s">
        <v>169</v>
      </c>
      <c r="E14" s="11" t="s">
        <v>170</v>
      </c>
      <c r="F14" s="11" t="e">
        <f>VLOOKUP(I2,$A$6:$H$55,2,FALSE)&amp;" - "&amp;VLOOKUP(I2,$A$6:$H$55,3,FALSE)&amp;" - "&amp;VLOOKUP(I2,$A$6:$H$55,5,FALSE)</f>
        <v>#N/A</v>
      </c>
      <c r="G14" s="11" t="s">
        <v>155</v>
      </c>
    </row>
    <row r="15" spans="1:7" ht="28.8" x14ac:dyDescent="0.3">
      <c r="A15" s="11" t="s">
        <v>508</v>
      </c>
      <c r="B15" s="11">
        <v>1</v>
      </c>
      <c r="C15" s="12" t="s">
        <v>3</v>
      </c>
      <c r="D15" s="11" t="s">
        <v>201</v>
      </c>
      <c r="E15" s="11" t="s">
        <v>193</v>
      </c>
      <c r="F15" s="11" t="e">
        <f>VLOOKUP(65,$A$6:$B$10,2,TRUE)</f>
        <v>#N/A</v>
      </c>
      <c r="G15" s="11" t="s">
        <v>202</v>
      </c>
    </row>
    <row r="16" spans="1:7" ht="28.8" x14ac:dyDescent="0.3">
      <c r="A16" s="11" t="s">
        <v>508</v>
      </c>
      <c r="B16" s="11">
        <v>2</v>
      </c>
      <c r="C16" s="12" t="s">
        <v>3</v>
      </c>
      <c r="D16" s="11" t="s">
        <v>203</v>
      </c>
      <c r="E16" s="11" t="s">
        <v>196</v>
      </c>
      <c r="F16" s="11" t="e">
        <f>VLOOKUP(82,$A$6:$B$10,2,TRUE)</f>
        <v>#N/A</v>
      </c>
      <c r="G16" s="11" t="s">
        <v>202</v>
      </c>
    </row>
    <row r="17" spans="1:7" ht="28.8" x14ac:dyDescent="0.3">
      <c r="A17" s="11" t="s">
        <v>508</v>
      </c>
      <c r="B17" s="11">
        <v>3</v>
      </c>
      <c r="C17" s="12" t="s">
        <v>3</v>
      </c>
      <c r="D17" s="11" t="s">
        <v>204</v>
      </c>
      <c r="E17" s="11" t="s">
        <v>186</v>
      </c>
      <c r="F17" s="11" t="e">
        <f>VLOOKUP(35,$A$6:$B$10,2,TRUE)</f>
        <v>#N/A</v>
      </c>
      <c r="G17" s="11" t="s">
        <v>202</v>
      </c>
    </row>
    <row r="18" spans="1:7" ht="28.8" x14ac:dyDescent="0.3">
      <c r="A18" s="11" t="s">
        <v>508</v>
      </c>
      <c r="B18" s="11">
        <v>4</v>
      </c>
      <c r="C18" s="13" t="s">
        <v>4</v>
      </c>
      <c r="D18" s="11" t="s">
        <v>205</v>
      </c>
      <c r="E18" s="11" t="s">
        <v>194</v>
      </c>
      <c r="F18" s="11" t="e">
        <f>VLOOKUP(42000,$E$6:$F$10,2,TRUE)</f>
        <v>#N/A</v>
      </c>
      <c r="G18" s="11" t="s">
        <v>202</v>
      </c>
    </row>
    <row r="19" spans="1:7" ht="28.8" x14ac:dyDescent="0.3">
      <c r="A19" s="11" t="s">
        <v>508</v>
      </c>
      <c r="B19" s="11">
        <v>5</v>
      </c>
      <c r="C19" s="13" t="s">
        <v>4</v>
      </c>
      <c r="D19" s="11" t="s">
        <v>206</v>
      </c>
      <c r="E19" s="11" t="s">
        <v>195</v>
      </c>
      <c r="F19" s="11" t="e">
        <f>VLOOKUP(75000,$E$6:$F$10,2,TRUE)</f>
        <v>#N/A</v>
      </c>
      <c r="G19" s="11" t="s">
        <v>202</v>
      </c>
    </row>
    <row r="20" spans="1:7" ht="28.8" x14ac:dyDescent="0.3">
      <c r="A20" s="11" t="s">
        <v>508</v>
      </c>
      <c r="B20" s="11">
        <v>6</v>
      </c>
      <c r="C20" s="13" t="s">
        <v>4</v>
      </c>
      <c r="D20" s="11" t="s">
        <v>207</v>
      </c>
      <c r="E20" s="11" t="s">
        <v>191</v>
      </c>
      <c r="F20" s="11" t="e">
        <f>VLOOKUP(260000,$I$6:$J$10,2,TRUE)</f>
        <v>#N/A</v>
      </c>
      <c r="G20" s="11" t="s">
        <v>202</v>
      </c>
    </row>
    <row r="21" spans="1:7" ht="28.8" x14ac:dyDescent="0.3">
      <c r="A21" s="11" t="s">
        <v>508</v>
      </c>
      <c r="B21" s="11">
        <v>7</v>
      </c>
      <c r="C21" s="14" t="s">
        <v>5</v>
      </c>
      <c r="D21" s="11" t="s">
        <v>208</v>
      </c>
      <c r="E21" s="11" t="s">
        <v>196</v>
      </c>
      <c r="F21" s="11" t="e">
        <f>VLOOKUP(89,$A$6:$B$10,2,TRUE)</f>
        <v>#N/A</v>
      </c>
      <c r="G21" s="11" t="s">
        <v>202</v>
      </c>
    </row>
    <row r="22" spans="1:7" ht="28.8" x14ac:dyDescent="0.3">
      <c r="A22" s="11" t="s">
        <v>508</v>
      </c>
      <c r="B22" s="11">
        <v>8</v>
      </c>
      <c r="C22" s="14" t="s">
        <v>5</v>
      </c>
      <c r="D22" s="11" t="s">
        <v>209</v>
      </c>
      <c r="E22" s="11" t="s">
        <v>198</v>
      </c>
      <c r="F22" s="11" t="e">
        <f>VLOOKUP(68000,$M$6:$N$10,2,TRUE)</f>
        <v>#N/A</v>
      </c>
      <c r="G22" s="11" t="s">
        <v>202</v>
      </c>
    </row>
    <row r="23" spans="1:7" ht="28.8" x14ac:dyDescent="0.3">
      <c r="A23" s="11" t="s">
        <v>508</v>
      </c>
      <c r="B23" s="11">
        <v>9</v>
      </c>
      <c r="C23" s="14" t="s">
        <v>5</v>
      </c>
      <c r="D23" s="11" t="s">
        <v>210</v>
      </c>
      <c r="E23" s="11" t="s">
        <v>211</v>
      </c>
      <c r="F23" s="11" t="e">
        <f>VLOOKUP(82,$P$6:$Q$10,2,TRUE)</f>
        <v>#N/A</v>
      </c>
      <c r="G23" s="11" t="s">
        <v>202</v>
      </c>
    </row>
    <row r="24" spans="1:7" ht="28.8" x14ac:dyDescent="0.3">
      <c r="A24" s="11" t="s">
        <v>508</v>
      </c>
      <c r="B24" s="11">
        <v>10</v>
      </c>
      <c r="C24" s="15" t="s">
        <v>6</v>
      </c>
      <c r="D24" s="11" t="s">
        <v>212</v>
      </c>
      <c r="E24" s="11" t="s">
        <v>213</v>
      </c>
      <c r="F24" s="11" t="e">
        <f>VLOOKUP(C2,$A$6:$B$10,2,TRUE)</f>
        <v>#N/A</v>
      </c>
      <c r="G24" s="11" t="s">
        <v>202</v>
      </c>
    </row>
    <row r="25" spans="1:7" ht="28.8" x14ac:dyDescent="0.3">
      <c r="A25" s="11" t="s">
        <v>214</v>
      </c>
      <c r="B25" s="11">
        <v>1</v>
      </c>
      <c r="C25" s="12" t="s">
        <v>3</v>
      </c>
      <c r="D25" s="11" t="s">
        <v>215</v>
      </c>
      <c r="E25" s="11" t="s">
        <v>216</v>
      </c>
      <c r="F25" s="11" t="e">
        <f>HLOOKUP("E103",$A$6:$H$7,2,FALSE)</f>
        <v>#N/A</v>
      </c>
      <c r="G25" s="11" t="s">
        <v>217</v>
      </c>
    </row>
    <row r="26" spans="1:7" ht="28.8" x14ac:dyDescent="0.3">
      <c r="A26" s="11" t="s">
        <v>214</v>
      </c>
      <c r="B26" s="11">
        <v>2</v>
      </c>
      <c r="C26" s="12" t="s">
        <v>3</v>
      </c>
      <c r="D26" s="11" t="s">
        <v>218</v>
      </c>
      <c r="E26" s="11" t="s">
        <v>44</v>
      </c>
      <c r="F26" s="11" t="e">
        <f>HLOOKUP("E104",$A$6:$H$7,3,FALSE)</f>
        <v>#N/A</v>
      </c>
      <c r="G26" s="11" t="s">
        <v>217</v>
      </c>
    </row>
    <row r="27" spans="1:7" ht="28.8" x14ac:dyDescent="0.3">
      <c r="A27" s="11" t="s">
        <v>214</v>
      </c>
      <c r="B27" s="11">
        <v>3</v>
      </c>
      <c r="C27" s="12" t="s">
        <v>3</v>
      </c>
      <c r="D27" s="11" t="s">
        <v>219</v>
      </c>
      <c r="E27" s="11" t="s">
        <v>47</v>
      </c>
      <c r="F27" s="11" t="e">
        <f>HLOOKUP("E105",$A$6:$H$7,2,FALSE)</f>
        <v>#N/A</v>
      </c>
      <c r="G27" s="11" t="s">
        <v>217</v>
      </c>
    </row>
    <row r="28" spans="1:7" ht="28.8" x14ac:dyDescent="0.3">
      <c r="A28" s="11" t="s">
        <v>214</v>
      </c>
      <c r="B28" s="11">
        <v>4</v>
      </c>
      <c r="C28" s="13" t="s">
        <v>4</v>
      </c>
      <c r="D28" s="11" t="s">
        <v>220</v>
      </c>
      <c r="E28" s="11" t="s">
        <v>38</v>
      </c>
      <c r="F28" s="11" t="e">
        <f>HLOOKUP("E102",$A$6:$H$7,4,FALSE)</f>
        <v>#N/A</v>
      </c>
      <c r="G28" s="11" t="s">
        <v>217</v>
      </c>
    </row>
    <row r="29" spans="1:7" ht="28.8" x14ac:dyDescent="0.3">
      <c r="A29" s="11" t="s">
        <v>214</v>
      </c>
      <c r="B29" s="11">
        <v>5</v>
      </c>
      <c r="C29" s="13" t="s">
        <v>4</v>
      </c>
      <c r="D29" s="11" t="s">
        <v>221</v>
      </c>
      <c r="E29" s="11" t="s">
        <v>39</v>
      </c>
      <c r="F29" s="11" t="e">
        <f>HLOOKUP("E106",$A$6:$H$7,7,FALSE)</f>
        <v>#N/A</v>
      </c>
      <c r="G29" s="11" t="s">
        <v>217</v>
      </c>
    </row>
    <row r="30" spans="1:7" ht="28.8" x14ac:dyDescent="0.3">
      <c r="A30" s="11" t="s">
        <v>214</v>
      </c>
      <c r="B30" s="11">
        <v>6</v>
      </c>
      <c r="C30" s="13" t="s">
        <v>4</v>
      </c>
      <c r="D30" s="11" t="s">
        <v>222</v>
      </c>
      <c r="E30" s="11" t="e">
        <v>#N/A</v>
      </c>
      <c r="F30" s="11" t="str">
        <f>IFERROR(HLOOKUP("E999",$A$6:$H$7,2,FALSE),"Employee Not Found")</f>
        <v>Employee Not Found</v>
      </c>
      <c r="G30" s="11" t="s">
        <v>217</v>
      </c>
    </row>
    <row r="31" spans="1:7" ht="28.8" x14ac:dyDescent="0.3">
      <c r="A31" s="11" t="s">
        <v>214</v>
      </c>
      <c r="B31" s="11">
        <v>7</v>
      </c>
      <c r="C31" s="14" t="s">
        <v>5</v>
      </c>
      <c r="D31" s="11" t="s">
        <v>223</v>
      </c>
      <c r="E31" s="11" t="s">
        <v>224</v>
      </c>
      <c r="F31" s="11" t="e">
        <f>IF(HLOOKUP("E106",$A$6:$H$7,5,FALSE)&gt;50000,"Promotable","Not Yet")</f>
        <v>#N/A</v>
      </c>
      <c r="G31" s="11" t="s">
        <v>217</v>
      </c>
    </row>
    <row r="32" spans="1:7" ht="28.8" x14ac:dyDescent="0.3">
      <c r="A32" s="11" t="s">
        <v>214</v>
      </c>
      <c r="B32" s="11">
        <v>8</v>
      </c>
      <c r="C32" s="14" t="s">
        <v>5</v>
      </c>
      <c r="D32" s="11" t="s">
        <v>225</v>
      </c>
      <c r="E32" s="11" t="s">
        <v>163</v>
      </c>
      <c r="F32" s="11" t="str">
        <f>IFERROR(HLOOKUP("E105",$A$6:$H$7,4,FALSE),"Employee Not Found")</f>
        <v>Employee Not Found</v>
      </c>
      <c r="G32" s="11" t="s">
        <v>217</v>
      </c>
    </row>
    <row r="33" spans="1:7" ht="28.8" x14ac:dyDescent="0.3">
      <c r="A33" s="11" t="s">
        <v>214</v>
      </c>
      <c r="B33" s="11">
        <v>9</v>
      </c>
      <c r="C33" s="14" t="s">
        <v>5</v>
      </c>
      <c r="D33" s="11" t="s">
        <v>226</v>
      </c>
      <c r="E33" s="11" t="s">
        <v>227</v>
      </c>
      <c r="F33" s="11" t="e">
        <f>HLOOKUP("E110",$A$6:$H$7,8,FALSE)</f>
        <v>#N/A</v>
      </c>
      <c r="G33" s="11" t="s">
        <v>217</v>
      </c>
    </row>
    <row r="34" spans="1:7" ht="43.2" x14ac:dyDescent="0.3">
      <c r="A34" s="11" t="s">
        <v>214</v>
      </c>
      <c r="B34" s="11">
        <v>10</v>
      </c>
      <c r="C34" s="15" t="s">
        <v>6</v>
      </c>
      <c r="D34" s="11" t="s">
        <v>228</v>
      </c>
      <c r="E34" s="11" t="s">
        <v>229</v>
      </c>
      <c r="F34" s="11" t="e">
        <f>HLOOKUP(I2,$A$6:$H$7,2,FALSE)</f>
        <v>#N/A</v>
      </c>
      <c r="G34" s="11" t="s">
        <v>217</v>
      </c>
    </row>
    <row r="35" spans="1:7" ht="28.8" x14ac:dyDescent="0.3">
      <c r="A35" s="11" t="s">
        <v>230</v>
      </c>
      <c r="B35" s="11">
        <v>1</v>
      </c>
      <c r="C35" s="12" t="s">
        <v>3</v>
      </c>
      <c r="D35" s="11" t="s">
        <v>231</v>
      </c>
      <c r="E35" s="11" t="s">
        <v>41</v>
      </c>
      <c r="F35" s="11">
        <f>INDEX($A$6:$H$55,3,2)</f>
        <v>4</v>
      </c>
      <c r="G35" s="11" t="s">
        <v>232</v>
      </c>
    </row>
    <row r="36" spans="1:7" ht="28.8" x14ac:dyDescent="0.3">
      <c r="A36" s="11" t="s">
        <v>230</v>
      </c>
      <c r="B36" s="11">
        <v>2</v>
      </c>
      <c r="C36" s="12" t="s">
        <v>3</v>
      </c>
      <c r="D36" s="11" t="s">
        <v>233</v>
      </c>
      <c r="E36" s="11" t="s">
        <v>33</v>
      </c>
      <c r="F36" s="11" t="str">
        <f>INDEX($A$6:$H$55,5,4)</f>
        <v>If Employee ID E999 is entered, show a friendly message using IFERROR.</v>
      </c>
      <c r="G36" s="11" t="s">
        <v>232</v>
      </c>
    </row>
    <row r="37" spans="1:7" ht="28.8" x14ac:dyDescent="0.3">
      <c r="A37" s="11" t="s">
        <v>230</v>
      </c>
      <c r="B37" s="11">
        <v>3</v>
      </c>
      <c r="C37" s="12" t="s">
        <v>3</v>
      </c>
      <c r="D37" s="11" t="s">
        <v>234</v>
      </c>
      <c r="E37" s="11" t="s">
        <v>235</v>
      </c>
      <c r="F37" s="11" t="str">
        <f>INDEX($A$6:$H$55,2,5)</f>
        <v>Priya Singh</v>
      </c>
      <c r="G37" s="11" t="s">
        <v>232</v>
      </c>
    </row>
    <row r="38" spans="1:7" ht="28.8" x14ac:dyDescent="0.3">
      <c r="A38" s="11" t="s">
        <v>230</v>
      </c>
      <c r="B38" s="11">
        <v>4</v>
      </c>
      <c r="C38" s="13" t="s">
        <v>4</v>
      </c>
      <c r="D38" s="11" t="s">
        <v>236</v>
      </c>
      <c r="E38" s="11" t="s">
        <v>34</v>
      </c>
      <c r="F38" s="11" t="str">
        <f>INDEX($A$6:$H$55,1,7)</f>
        <v>Teach exact lookup, error handling, and combining lookup with IF.</v>
      </c>
      <c r="G38" s="11" t="s">
        <v>232</v>
      </c>
    </row>
    <row r="39" spans="1:7" ht="28.8" x14ac:dyDescent="0.3">
      <c r="A39" s="11" t="s">
        <v>230</v>
      </c>
      <c r="B39" s="11">
        <v>5</v>
      </c>
      <c r="C39" s="13" t="s">
        <v>4</v>
      </c>
      <c r="D39" s="11" t="s">
        <v>237</v>
      </c>
      <c r="E39" s="11" t="s">
        <v>44</v>
      </c>
      <c r="F39" s="11" t="str">
        <f>INDEX($A$6:$H$55,4,3)</f>
        <v>Medium</v>
      </c>
      <c r="G39" s="11" t="s">
        <v>232</v>
      </c>
    </row>
    <row r="40" spans="1:7" ht="28.8" x14ac:dyDescent="0.3">
      <c r="A40" s="11" t="s">
        <v>230</v>
      </c>
      <c r="B40" s="11">
        <v>6</v>
      </c>
      <c r="C40" s="13" t="s">
        <v>4</v>
      </c>
      <c r="D40" s="11" t="s">
        <v>238</v>
      </c>
      <c r="E40" s="11" t="s">
        <v>161</v>
      </c>
      <c r="F40" s="11">
        <f>INDEX($A$6:$H$55,6,8)</f>
        <v>0</v>
      </c>
      <c r="G40" s="11" t="s">
        <v>232</v>
      </c>
    </row>
    <row r="41" spans="1:7" ht="28.8" x14ac:dyDescent="0.3">
      <c r="A41" s="11" t="s">
        <v>230</v>
      </c>
      <c r="B41" s="11">
        <v>7</v>
      </c>
      <c r="C41" s="14" t="s">
        <v>5</v>
      </c>
      <c r="D41" s="11" t="s">
        <v>239</v>
      </c>
      <c r="E41" s="11" t="s">
        <v>62</v>
      </c>
      <c r="F41" s="11" t="str">
        <f>INDEX($A$6:$H$55,10,4)</f>
        <v>Using the grade slab table, what grade should 65 marks receive?</v>
      </c>
      <c r="G41" s="11" t="s">
        <v>232</v>
      </c>
    </row>
    <row r="42" spans="1:7" ht="28.8" x14ac:dyDescent="0.3">
      <c r="A42" s="11" t="s">
        <v>230</v>
      </c>
      <c r="B42" s="11">
        <v>8</v>
      </c>
      <c r="C42" s="14" t="s">
        <v>5</v>
      </c>
      <c r="D42" s="11" t="s">
        <v>240</v>
      </c>
      <c r="E42" s="11" t="s">
        <v>54</v>
      </c>
      <c r="F42" s="11">
        <f>INDEX($A$6:$H$55,7,2)</f>
        <v>8</v>
      </c>
      <c r="G42" s="11" t="s">
        <v>232</v>
      </c>
    </row>
    <row r="43" spans="1:7" x14ac:dyDescent="0.3">
      <c r="A43" s="11" t="s">
        <v>230</v>
      </c>
      <c r="B43" s="11">
        <v>9</v>
      </c>
      <c r="C43" s="14" t="s">
        <v>5</v>
      </c>
      <c r="D43" s="11" t="s">
        <v>241</v>
      </c>
      <c r="E43" s="11" t="s">
        <v>242</v>
      </c>
      <c r="F43" s="11" t="str">
        <f>INDEX($A$6:$H$55,8,5)</f>
        <v>Good</v>
      </c>
      <c r="G43" s="11" t="s">
        <v>232</v>
      </c>
    </row>
    <row r="44" spans="1:7" ht="43.2" x14ac:dyDescent="0.3">
      <c r="A44" s="11" t="s">
        <v>230</v>
      </c>
      <c r="B44" s="11">
        <v>10</v>
      </c>
      <c r="C44" s="15" t="s">
        <v>6</v>
      </c>
      <c r="D44" s="11" t="s">
        <v>243</v>
      </c>
      <c r="E44" s="11" t="s">
        <v>244</v>
      </c>
      <c r="F44" s="11" t="str">
        <f ca="1">INDEX($A$6:$H$55,I2,I3)</f>
        <v/>
      </c>
      <c r="G44" s="11" t="s">
        <v>232</v>
      </c>
    </row>
    <row r="45" spans="1:7" x14ac:dyDescent="0.3">
      <c r="A45" s="11" t="s">
        <v>245</v>
      </c>
      <c r="B45" s="11">
        <v>1</v>
      </c>
      <c r="C45" s="12" t="s">
        <v>3</v>
      </c>
      <c r="D45" s="11" t="s">
        <v>246</v>
      </c>
      <c r="E45" s="11" t="s">
        <v>247</v>
      </c>
      <c r="F45" s="11" t="e">
        <f>MATCH("E103",$A$6:$A$55,0)</f>
        <v>#N/A</v>
      </c>
      <c r="G45" s="11" t="s">
        <v>248</v>
      </c>
    </row>
    <row r="46" spans="1:7" x14ac:dyDescent="0.3">
      <c r="A46" s="11" t="s">
        <v>245</v>
      </c>
      <c r="B46" s="11">
        <v>2</v>
      </c>
      <c r="C46" s="12" t="s">
        <v>3</v>
      </c>
      <c r="D46" s="11" t="s">
        <v>249</v>
      </c>
      <c r="E46" s="11" t="s">
        <v>250</v>
      </c>
      <c r="F46" s="11" t="e">
        <f>MATCH("E105",$A$6:$A$55,0)</f>
        <v>#N/A</v>
      </c>
      <c r="G46" s="11" t="s">
        <v>248</v>
      </c>
    </row>
    <row r="47" spans="1:7" x14ac:dyDescent="0.3">
      <c r="A47" s="11" t="s">
        <v>245</v>
      </c>
      <c r="B47" s="11">
        <v>3</v>
      </c>
      <c r="C47" s="12" t="s">
        <v>3</v>
      </c>
      <c r="D47" s="11" t="s">
        <v>251</v>
      </c>
      <c r="E47" s="11" t="s">
        <v>252</v>
      </c>
      <c r="F47" s="11" t="e">
        <f>MATCH("E110",$A$6:$A$55,0)</f>
        <v>#N/A</v>
      </c>
      <c r="G47" s="11" t="s">
        <v>248</v>
      </c>
    </row>
    <row r="48" spans="1:7" ht="28.8" x14ac:dyDescent="0.3">
      <c r="A48" s="11" t="s">
        <v>245</v>
      </c>
      <c r="B48" s="11">
        <v>4</v>
      </c>
      <c r="C48" s="13" t="s">
        <v>4</v>
      </c>
      <c r="D48" s="11" t="s">
        <v>253</v>
      </c>
      <c r="E48" s="11" t="s">
        <v>247</v>
      </c>
      <c r="F48" s="11" t="e">
        <f>MATCH("Kabir Mehta",$B$6:$B$55,0)</f>
        <v>#N/A</v>
      </c>
      <c r="G48" s="11" t="s">
        <v>248</v>
      </c>
    </row>
    <row r="49" spans="1:7" ht="28.8" x14ac:dyDescent="0.3">
      <c r="A49" s="11" t="s">
        <v>245</v>
      </c>
      <c r="B49" s="11">
        <v>5</v>
      </c>
      <c r="C49" s="13" t="s">
        <v>4</v>
      </c>
      <c r="D49" s="11" t="s">
        <v>254</v>
      </c>
      <c r="E49" s="11" t="s">
        <v>255</v>
      </c>
      <c r="F49" s="11" t="e">
        <f>MATCH("Finance",$C$6:$C$55,0)</f>
        <v>#N/A</v>
      </c>
      <c r="G49" s="11" t="s">
        <v>248</v>
      </c>
    </row>
    <row r="50" spans="1:7" x14ac:dyDescent="0.3">
      <c r="A50" s="11" t="s">
        <v>245</v>
      </c>
      <c r="B50" s="11">
        <v>6</v>
      </c>
      <c r="C50" s="13" t="s">
        <v>4</v>
      </c>
      <c r="D50" s="11" t="s">
        <v>256</v>
      </c>
      <c r="E50" s="11" t="s">
        <v>257</v>
      </c>
      <c r="F50" s="11" t="e">
        <f>MATCH("Delhi",$D$6:$D$55,0)</f>
        <v>#N/A</v>
      </c>
      <c r="G50" s="11" t="s">
        <v>248</v>
      </c>
    </row>
    <row r="51" spans="1:7" ht="28.8" x14ac:dyDescent="0.3">
      <c r="A51" s="11" t="s">
        <v>245</v>
      </c>
      <c r="B51" s="11">
        <v>7</v>
      </c>
      <c r="C51" s="14" t="s">
        <v>5</v>
      </c>
      <c r="D51" s="11" t="s">
        <v>258</v>
      </c>
      <c r="E51" s="11" t="s">
        <v>259</v>
      </c>
      <c r="F51" s="11" t="e">
        <f>MATCH(MAX($E$6:$E$55),$E$6:$E$55,0)</f>
        <v>#N/A</v>
      </c>
      <c r="G51" s="11" t="s">
        <v>248</v>
      </c>
    </row>
    <row r="52" spans="1:7" ht="28.8" x14ac:dyDescent="0.3">
      <c r="A52" s="11" t="s">
        <v>245</v>
      </c>
      <c r="B52" s="11">
        <v>8</v>
      </c>
      <c r="C52" s="14" t="s">
        <v>5</v>
      </c>
      <c r="D52" s="11" t="s">
        <v>260</v>
      </c>
      <c r="E52" s="11" t="s">
        <v>257</v>
      </c>
      <c r="F52" s="11" t="e">
        <f>MATCH("Excellent",$G$6:$G$55,0)</f>
        <v>#N/A</v>
      </c>
      <c r="G52" s="11" t="s">
        <v>248</v>
      </c>
    </row>
    <row r="53" spans="1:7" x14ac:dyDescent="0.3">
      <c r="A53" s="11" t="s">
        <v>245</v>
      </c>
      <c r="B53" s="11">
        <v>9</v>
      </c>
      <c r="C53" s="14" t="s">
        <v>5</v>
      </c>
      <c r="D53" s="11" t="s">
        <v>261</v>
      </c>
      <c r="E53" s="11" t="s">
        <v>255</v>
      </c>
      <c r="F53" s="11" t="e">
        <f>MATCH(55000,$E$6:$E$55,0)</f>
        <v>#N/A</v>
      </c>
      <c r="G53" s="11" t="s">
        <v>248</v>
      </c>
    </row>
    <row r="54" spans="1:7" ht="28.8" x14ac:dyDescent="0.3">
      <c r="A54" s="11" t="s">
        <v>245</v>
      </c>
      <c r="B54" s="11">
        <v>10</v>
      </c>
      <c r="C54" s="15" t="s">
        <v>6</v>
      </c>
      <c r="D54" s="11" t="s">
        <v>262</v>
      </c>
      <c r="E54" s="11" t="s">
        <v>263</v>
      </c>
      <c r="F54" s="11" t="e">
        <f>MATCH(I2,$A$6:$A$55,0)</f>
        <v>#N/A</v>
      </c>
      <c r="G54" s="11" t="s">
        <v>248</v>
      </c>
    </row>
    <row r="55" spans="1:7" ht="28.8" x14ac:dyDescent="0.3">
      <c r="A55" s="11" t="s">
        <v>509</v>
      </c>
      <c r="B55" s="11">
        <v>1</v>
      </c>
      <c r="C55" s="12" t="s">
        <v>3</v>
      </c>
      <c r="D55" s="11" t="s">
        <v>265</v>
      </c>
      <c r="E55" s="11" t="s">
        <v>43</v>
      </c>
      <c r="F55" s="11" t="e">
        <f>INDEX($B$6:$B$55,MATCH("E104",$A$6:$A$55,0))</f>
        <v>#N/A</v>
      </c>
      <c r="G55" s="11" t="s">
        <v>266</v>
      </c>
    </row>
    <row r="56" spans="1:7" ht="28.8" x14ac:dyDescent="0.3">
      <c r="A56" s="11" t="s">
        <v>509</v>
      </c>
      <c r="B56" s="11">
        <v>2</v>
      </c>
      <c r="C56" s="12" t="s">
        <v>3</v>
      </c>
      <c r="D56" s="11" t="s">
        <v>267</v>
      </c>
      <c r="E56" s="11" t="s">
        <v>268</v>
      </c>
      <c r="F56" s="11" t="e">
        <f>INDEX($E$6:$E$55,MATCH("E106",$A$6:$A$55,0))</f>
        <v>#N/A</v>
      </c>
      <c r="G56" s="11" t="s">
        <v>266</v>
      </c>
    </row>
    <row r="57" spans="1:7" ht="28.8" x14ac:dyDescent="0.3">
      <c r="A57" s="11" t="s">
        <v>509</v>
      </c>
      <c r="B57" s="11">
        <v>3</v>
      </c>
      <c r="C57" s="12" t="s">
        <v>3</v>
      </c>
      <c r="D57" s="11" t="s">
        <v>269</v>
      </c>
      <c r="E57" s="11" t="s">
        <v>37</v>
      </c>
      <c r="F57" s="11" t="e">
        <f>INDEX($C$6:$C$55,MATCH("E107",$A$6:$A$55,0))</f>
        <v>#N/A</v>
      </c>
      <c r="G57" s="11" t="s">
        <v>266</v>
      </c>
    </row>
    <row r="58" spans="1:7" ht="28.8" x14ac:dyDescent="0.3">
      <c r="A58" s="11" t="s">
        <v>509</v>
      </c>
      <c r="B58" s="11">
        <v>4</v>
      </c>
      <c r="C58" s="13" t="s">
        <v>4</v>
      </c>
      <c r="D58" s="11" t="s">
        <v>270</v>
      </c>
      <c r="E58" s="11" t="s">
        <v>62</v>
      </c>
      <c r="F58" s="11" t="e">
        <f>INDEX($D$6:$D$55,MATCH("E110",$A$6:$A$55,0))</f>
        <v>#N/A</v>
      </c>
      <c r="G58" s="11" t="s">
        <v>266</v>
      </c>
    </row>
    <row r="59" spans="1:7" ht="28.8" x14ac:dyDescent="0.3">
      <c r="A59" s="11" t="s">
        <v>509</v>
      </c>
      <c r="B59" s="11">
        <v>5</v>
      </c>
      <c r="C59" s="13" t="s">
        <v>4</v>
      </c>
      <c r="D59" s="11" t="s">
        <v>271</v>
      </c>
      <c r="E59" s="11" t="s">
        <v>272</v>
      </c>
      <c r="F59" s="11" t="e">
        <f>INDEX($H$6:$H$55,MATCH("E108",$A$6:$A$55,0))</f>
        <v>#N/A</v>
      </c>
      <c r="G59" s="11" t="s">
        <v>266</v>
      </c>
    </row>
    <row r="60" spans="1:7" ht="28.8" x14ac:dyDescent="0.3">
      <c r="A60" s="11" t="s">
        <v>509</v>
      </c>
      <c r="B60" s="11">
        <v>6</v>
      </c>
      <c r="C60" s="13" t="s">
        <v>4</v>
      </c>
      <c r="D60" s="11" t="s">
        <v>273</v>
      </c>
      <c r="E60" s="11" t="s">
        <v>39</v>
      </c>
      <c r="F60" s="11" t="e">
        <f>INDEX($G$6:$G$55,MATCH("E102",$A$6:$A$55,0))</f>
        <v>#N/A</v>
      </c>
      <c r="G60" s="11" t="s">
        <v>266</v>
      </c>
    </row>
    <row r="61" spans="1:7" ht="28.8" x14ac:dyDescent="0.3">
      <c r="A61" s="11" t="s">
        <v>509</v>
      </c>
      <c r="B61" s="11">
        <v>7</v>
      </c>
      <c r="C61" s="14" t="s">
        <v>5</v>
      </c>
      <c r="D61" s="11" t="s">
        <v>274</v>
      </c>
      <c r="E61" s="11" t="s">
        <v>35</v>
      </c>
      <c r="F61" s="11" t="e">
        <f>INDEX($A$6:$A$55,MATCH("Priya Singh",$B$6:$B$55,0))</f>
        <v>#N/A</v>
      </c>
      <c r="G61" s="11" t="s">
        <v>266</v>
      </c>
    </row>
    <row r="62" spans="1:7" ht="28.8" x14ac:dyDescent="0.3">
      <c r="A62" s="11" t="s">
        <v>509</v>
      </c>
      <c r="B62" s="11">
        <v>8</v>
      </c>
      <c r="C62" s="14" t="s">
        <v>5</v>
      </c>
      <c r="D62" s="11" t="s">
        <v>275</v>
      </c>
      <c r="E62" s="11" t="s">
        <v>276</v>
      </c>
      <c r="F62" s="11" t="e">
        <f>INDEX($C$6:$C$55,MATCH("E103",$A$6:$A$55,0))&amp;" - "&amp;INDEX($E$6:$E$55,MATCH("E103",$A$6:$A$55,0))</f>
        <v>#N/A</v>
      </c>
      <c r="G62" s="11" t="s">
        <v>266</v>
      </c>
    </row>
    <row r="63" spans="1:7" ht="28.8" x14ac:dyDescent="0.3">
      <c r="A63" s="11" t="s">
        <v>509</v>
      </c>
      <c r="B63" s="11">
        <v>9</v>
      </c>
      <c r="C63" s="14" t="s">
        <v>5</v>
      </c>
      <c r="D63" s="11" t="s">
        <v>277</v>
      </c>
      <c r="E63" s="11" t="s">
        <v>163</v>
      </c>
      <c r="F63" s="11" t="str">
        <f>IFERROR(INDEX($B$6:$B$55,MATCH("E999",$A$6:$A$55,0)),"Employee Not Found")</f>
        <v>Employee Not Found</v>
      </c>
      <c r="G63" s="11" t="s">
        <v>266</v>
      </c>
    </row>
    <row r="64" spans="1:7" ht="28.8" x14ac:dyDescent="0.3">
      <c r="A64" s="11" t="s">
        <v>509</v>
      </c>
      <c r="B64" s="11">
        <v>10</v>
      </c>
      <c r="C64" s="15" t="s">
        <v>6</v>
      </c>
      <c r="D64" s="11" t="s">
        <v>278</v>
      </c>
      <c r="E64" s="11" t="s">
        <v>279</v>
      </c>
      <c r="F64" s="11" t="e">
        <f>INDEX($B$6:$B$55,MATCH(I2,$A$6:$A$55,0))</f>
        <v>#N/A</v>
      </c>
      <c r="G64" s="11" t="s">
        <v>266</v>
      </c>
    </row>
    <row r="65" spans="1:7" ht="28.8" x14ac:dyDescent="0.3">
      <c r="A65" s="11" t="s">
        <v>280</v>
      </c>
      <c r="B65" s="11">
        <v>1</v>
      </c>
      <c r="C65" s="12" t="s">
        <v>3</v>
      </c>
      <c r="D65" s="11" t="s">
        <v>281</v>
      </c>
      <c r="E65" s="11" t="s">
        <v>252</v>
      </c>
      <c r="F65" s="11">
        <f>COUNTIF($C$6:$C$55,"IT")</f>
        <v>0</v>
      </c>
      <c r="G65" s="11" t="s">
        <v>282</v>
      </c>
    </row>
    <row r="66" spans="1:7" ht="28.8" x14ac:dyDescent="0.3">
      <c r="A66" s="11" t="s">
        <v>280</v>
      </c>
      <c r="B66" s="11">
        <v>2</v>
      </c>
      <c r="C66" s="12" t="s">
        <v>3</v>
      </c>
      <c r="D66" s="11" t="s">
        <v>283</v>
      </c>
      <c r="E66" s="11" t="s">
        <v>284</v>
      </c>
      <c r="F66" s="11">
        <f>COUNTIF($D$6:$D$55,"Delhi")</f>
        <v>0</v>
      </c>
      <c r="G66" s="11" t="s">
        <v>282</v>
      </c>
    </row>
    <row r="67" spans="1:7" ht="28.8" x14ac:dyDescent="0.3">
      <c r="A67" s="11" t="s">
        <v>280</v>
      </c>
      <c r="B67" s="11">
        <v>3</v>
      </c>
      <c r="C67" s="12" t="s">
        <v>3</v>
      </c>
      <c r="D67" s="11" t="s">
        <v>285</v>
      </c>
      <c r="E67" s="11" t="s">
        <v>286</v>
      </c>
      <c r="F67" s="11">
        <f>COUNTIF($G$6:$G$55,"Excellent")</f>
        <v>0</v>
      </c>
      <c r="G67" s="11" t="s">
        <v>282</v>
      </c>
    </row>
    <row r="68" spans="1:7" ht="28.8" x14ac:dyDescent="0.3">
      <c r="A68" s="11" t="s">
        <v>280</v>
      </c>
      <c r="B68" s="11">
        <v>4</v>
      </c>
      <c r="C68" s="13" t="s">
        <v>4</v>
      </c>
      <c r="D68" s="11" t="s">
        <v>287</v>
      </c>
      <c r="E68" s="11" t="s">
        <v>288</v>
      </c>
      <c r="F68" s="11">
        <f>COUNTIF($E$6:$E$55,"&gt;50000")</f>
        <v>0</v>
      </c>
      <c r="G68" s="11" t="s">
        <v>282</v>
      </c>
    </row>
    <row r="69" spans="1:7" ht="28.8" x14ac:dyDescent="0.3">
      <c r="A69" s="11" t="s">
        <v>280</v>
      </c>
      <c r="B69" s="11">
        <v>5</v>
      </c>
      <c r="C69" s="13" t="s">
        <v>4</v>
      </c>
      <c r="D69" s="11" t="s">
        <v>289</v>
      </c>
      <c r="E69" s="11" t="s">
        <v>290</v>
      </c>
      <c r="F69" s="11">
        <f>COUNTIF($C$6:$C$55,"Finance")</f>
        <v>0</v>
      </c>
      <c r="G69" s="11" t="s">
        <v>282</v>
      </c>
    </row>
    <row r="70" spans="1:7" ht="28.8" x14ac:dyDescent="0.3">
      <c r="A70" s="11" t="s">
        <v>280</v>
      </c>
      <c r="B70" s="11">
        <v>6</v>
      </c>
      <c r="C70" s="13" t="s">
        <v>4</v>
      </c>
      <c r="D70" s="11" t="s">
        <v>291</v>
      </c>
      <c r="E70" s="11" t="s">
        <v>292</v>
      </c>
      <c r="F70" s="11" t="str">
        <f ca="1">COUNTIF($F$6:$F$55,"&gt;=5")</f>
        <v/>
      </c>
      <c r="G70" s="11" t="s">
        <v>282</v>
      </c>
    </row>
    <row r="71" spans="1:7" ht="28.8" x14ac:dyDescent="0.3">
      <c r="A71" s="11" t="s">
        <v>280</v>
      </c>
      <c r="B71" s="11">
        <v>7</v>
      </c>
      <c r="C71" s="14" t="s">
        <v>5</v>
      </c>
      <c r="D71" s="11" t="s">
        <v>293</v>
      </c>
      <c r="E71" s="11" t="s">
        <v>250</v>
      </c>
      <c r="F71" s="11">
        <f>COUNTIFS($C$6:$C$55,"IT",$D$6:$D$55,"Delhi")</f>
        <v>0</v>
      </c>
      <c r="G71" s="11" t="s">
        <v>282</v>
      </c>
    </row>
    <row r="72" spans="1:7" ht="28.8" x14ac:dyDescent="0.3">
      <c r="A72" s="11" t="s">
        <v>280</v>
      </c>
      <c r="B72" s="11">
        <v>8</v>
      </c>
      <c r="C72" s="14" t="s">
        <v>5</v>
      </c>
      <c r="D72" s="11" t="s">
        <v>294</v>
      </c>
      <c r="E72" s="11" t="s">
        <v>295</v>
      </c>
      <c r="F72" s="11">
        <f>COUNTIF($H$6:$H$55,"&gt;50000")</f>
        <v>0</v>
      </c>
      <c r="G72" s="11" t="s">
        <v>282</v>
      </c>
    </row>
    <row r="73" spans="1:7" ht="28.8" x14ac:dyDescent="0.3">
      <c r="A73" s="11" t="s">
        <v>280</v>
      </c>
      <c r="B73" s="11">
        <v>9</v>
      </c>
      <c r="C73" s="14" t="s">
        <v>5</v>
      </c>
      <c r="D73" s="11" t="s">
        <v>296</v>
      </c>
      <c r="E73" s="11" t="s">
        <v>295</v>
      </c>
      <c r="F73" s="11">
        <f>COUNTIF($C$6:$C$55,"Marketing")+COUNTIF($C$6:$C$55,"Sales")</f>
        <v>0</v>
      </c>
      <c r="G73" s="11" t="s">
        <v>282</v>
      </c>
    </row>
    <row r="74" spans="1:7" ht="28.8" x14ac:dyDescent="0.3">
      <c r="A74" s="11" t="s">
        <v>280</v>
      </c>
      <c r="B74" s="11">
        <v>10</v>
      </c>
      <c r="C74" s="15" t="s">
        <v>6</v>
      </c>
      <c r="D74" s="11" t="s">
        <v>297</v>
      </c>
      <c r="E74" s="11" t="s">
        <v>298</v>
      </c>
      <c r="F74" s="11">
        <f>MAX(COUNTIF($C$6:$C$55,$C$6:$C$55))</f>
        <v>0</v>
      </c>
      <c r="G74" s="11" t="s">
        <v>282</v>
      </c>
    </row>
    <row r="75" spans="1:7" ht="28.8" x14ac:dyDescent="0.3">
      <c r="A75" s="11" t="s">
        <v>299</v>
      </c>
      <c r="B75" s="11">
        <v>1</v>
      </c>
      <c r="C75" s="12" t="s">
        <v>3</v>
      </c>
      <c r="D75" s="11" t="s">
        <v>300</v>
      </c>
      <c r="E75" s="11" t="s">
        <v>301</v>
      </c>
      <c r="F75" s="11">
        <f>SUMIF($C$6:$C$55,"IT",$E$6:$E$55)</f>
        <v>0</v>
      </c>
      <c r="G75" s="11" t="s">
        <v>302</v>
      </c>
    </row>
    <row r="76" spans="1:7" ht="28.8" x14ac:dyDescent="0.3">
      <c r="A76" s="11" t="s">
        <v>299</v>
      </c>
      <c r="B76" s="11">
        <v>2</v>
      </c>
      <c r="C76" s="12" t="s">
        <v>3</v>
      </c>
      <c r="D76" s="11" t="s">
        <v>303</v>
      </c>
      <c r="E76" s="11" t="s">
        <v>304</v>
      </c>
      <c r="F76" s="11">
        <f>SUMIF($C$6:$C$55,"HR",$E$6:$E$55)</f>
        <v>0</v>
      </c>
      <c r="G76" s="11" t="s">
        <v>302</v>
      </c>
    </row>
    <row r="77" spans="1:7" ht="28.8" x14ac:dyDescent="0.3">
      <c r="A77" s="11" t="s">
        <v>299</v>
      </c>
      <c r="B77" s="11">
        <v>3</v>
      </c>
      <c r="C77" s="12" t="s">
        <v>3</v>
      </c>
      <c r="D77" s="11" t="s">
        <v>305</v>
      </c>
      <c r="E77" s="11" t="s">
        <v>306</v>
      </c>
      <c r="F77" s="11">
        <f>SUMIF($D$6:$D$55,"Delhi",$H$6:$H$55)</f>
        <v>0</v>
      </c>
      <c r="G77" s="11" t="s">
        <v>302</v>
      </c>
    </row>
    <row r="78" spans="1:7" ht="28.8" x14ac:dyDescent="0.3">
      <c r="A78" s="11" t="s">
        <v>299</v>
      </c>
      <c r="B78" s="11">
        <v>4</v>
      </c>
      <c r="C78" s="13" t="s">
        <v>4</v>
      </c>
      <c r="D78" s="11" t="s">
        <v>307</v>
      </c>
      <c r="E78" s="11" t="s">
        <v>308</v>
      </c>
      <c r="F78" s="11">
        <f>SUMIF($C$6:$C$55,"Finance",$E$6:$E$55)</f>
        <v>0</v>
      </c>
      <c r="G78" s="11" t="s">
        <v>302</v>
      </c>
    </row>
    <row r="79" spans="1:7" ht="28.8" x14ac:dyDescent="0.3">
      <c r="A79" s="11" t="s">
        <v>299</v>
      </c>
      <c r="B79" s="11">
        <v>5</v>
      </c>
      <c r="C79" s="13" t="s">
        <v>4</v>
      </c>
      <c r="D79" s="11" t="s">
        <v>309</v>
      </c>
      <c r="E79" s="11" t="s">
        <v>310</v>
      </c>
      <c r="F79" s="11">
        <f>SUMIF($D$6:$D$55,"Mumbai",$H$6:$H$55)</f>
        <v>0</v>
      </c>
      <c r="G79" s="11" t="s">
        <v>302</v>
      </c>
    </row>
    <row r="80" spans="1:7" ht="28.8" x14ac:dyDescent="0.3">
      <c r="A80" s="11" t="s">
        <v>299</v>
      </c>
      <c r="B80" s="11">
        <v>6</v>
      </c>
      <c r="C80" s="13" t="s">
        <v>4</v>
      </c>
      <c r="D80" s="11" t="s">
        <v>311</v>
      </c>
      <c r="E80" s="11" t="s">
        <v>312</v>
      </c>
      <c r="F80" s="11">
        <f>SUMIF($G$6:$G$55,"Excellent",$H$6:$H$55)</f>
        <v>0</v>
      </c>
      <c r="G80" s="11" t="s">
        <v>302</v>
      </c>
    </row>
    <row r="81" spans="1:7" ht="28.8" x14ac:dyDescent="0.3">
      <c r="A81" s="11" t="s">
        <v>299</v>
      </c>
      <c r="B81" s="11">
        <v>7</v>
      </c>
      <c r="C81" s="14" t="s">
        <v>5</v>
      </c>
      <c r="D81" s="11" t="s">
        <v>313</v>
      </c>
      <c r="E81" s="11" t="s">
        <v>314</v>
      </c>
      <c r="F81" s="11">
        <f>SUMIFS($E$6:$E$55,$C$6:$C$55,"IT",$D$6:$D$55,"Delhi")</f>
        <v>0</v>
      </c>
      <c r="G81" s="11" t="s">
        <v>302</v>
      </c>
    </row>
    <row r="82" spans="1:7" ht="28.8" x14ac:dyDescent="0.3">
      <c r="A82" s="11" t="s">
        <v>299</v>
      </c>
      <c r="B82" s="11">
        <v>8</v>
      </c>
      <c r="C82" s="14" t="s">
        <v>5</v>
      </c>
      <c r="D82" s="11" t="s">
        <v>315</v>
      </c>
      <c r="E82" s="11" t="s">
        <v>316</v>
      </c>
      <c r="F82" s="11">
        <f>SUMIF($E$6:$E$55,"&gt;50000",$H$6:$H$55)</f>
        <v>0</v>
      </c>
      <c r="G82" s="11" t="s">
        <v>302</v>
      </c>
    </row>
    <row r="83" spans="1:7" ht="28.8" x14ac:dyDescent="0.3">
      <c r="A83" s="11" t="s">
        <v>299</v>
      </c>
      <c r="B83" s="11">
        <v>9</v>
      </c>
      <c r="C83" s="14" t="s">
        <v>5</v>
      </c>
      <c r="D83" s="11" t="s">
        <v>317</v>
      </c>
      <c r="E83" s="11" t="s">
        <v>318</v>
      </c>
      <c r="F83" s="11">
        <f>SUMIF($C$6:$C$55,"Marketing",$E$6:$E$55)</f>
        <v>0</v>
      </c>
      <c r="G83" s="11" t="s">
        <v>302</v>
      </c>
    </row>
    <row r="84" spans="1:7" ht="28.8" x14ac:dyDescent="0.3">
      <c r="A84" s="11" t="s">
        <v>299</v>
      </c>
      <c r="B84" s="11">
        <v>10</v>
      </c>
      <c r="C84" s="15" t="s">
        <v>6</v>
      </c>
      <c r="D84" s="11" t="s">
        <v>319</v>
      </c>
      <c r="E84" s="11" t="s">
        <v>320</v>
      </c>
      <c r="F84" s="11">
        <f ca="1">MAX(SUMIF($C$6:$C$55,_xludf.UNIQUE($C$6:$C$55),$E$6:$E$55))</f>
        <v>0</v>
      </c>
      <c r="G84" s="11" t="s">
        <v>302</v>
      </c>
    </row>
    <row r="85" spans="1:7" ht="28.8" x14ac:dyDescent="0.3">
      <c r="A85" s="11" t="s">
        <v>321</v>
      </c>
      <c r="B85" s="11">
        <v>1</v>
      </c>
      <c r="C85" s="12" t="s">
        <v>3</v>
      </c>
      <c r="D85" s="11" t="s">
        <v>322</v>
      </c>
      <c r="E85" s="11" t="s">
        <v>323</v>
      </c>
      <c r="F85" s="11" t="str">
        <f>IF($E$6&gt;=50000,"High Salary","Low Salary")</f>
        <v>High Salary</v>
      </c>
      <c r="G85" s="11" t="s">
        <v>324</v>
      </c>
    </row>
    <row r="86" spans="1:7" ht="28.8" x14ac:dyDescent="0.3">
      <c r="A86" s="11" t="s">
        <v>321</v>
      </c>
      <c r="B86" s="11">
        <v>2</v>
      </c>
      <c r="C86" s="12" t="s">
        <v>3</v>
      </c>
      <c r="D86" s="11" t="s">
        <v>325</v>
      </c>
      <c r="E86" s="11" t="s">
        <v>326</v>
      </c>
      <c r="F86" s="11" t="str">
        <f>IF($H$6&gt;=25000,"Pass","Fail")</f>
        <v>Fail</v>
      </c>
      <c r="G86" s="11" t="s">
        <v>324</v>
      </c>
    </row>
    <row r="87" spans="1:7" ht="28.8" x14ac:dyDescent="0.3">
      <c r="A87" s="11" t="s">
        <v>321</v>
      </c>
      <c r="B87" s="11">
        <v>3</v>
      </c>
      <c r="C87" s="12" t="s">
        <v>3</v>
      </c>
      <c r="D87" s="11" t="s">
        <v>327</v>
      </c>
      <c r="E87" s="11" t="s">
        <v>328</v>
      </c>
      <c r="F87" s="11" t="e">
        <f>IF($F$6&gt;=3,"Eligible","Not Eligible")</f>
        <v>#N/A</v>
      </c>
      <c r="G87" s="11" t="s">
        <v>324</v>
      </c>
    </row>
    <row r="88" spans="1:7" ht="28.8" x14ac:dyDescent="0.3">
      <c r="A88" s="11" t="s">
        <v>321</v>
      </c>
      <c r="B88" s="11">
        <v>4</v>
      </c>
      <c r="C88" s="13" t="s">
        <v>4</v>
      </c>
      <c r="D88" s="11" t="s">
        <v>329</v>
      </c>
      <c r="E88" s="11" t="s">
        <v>330</v>
      </c>
      <c r="F88" s="11" t="str">
        <f>IF($G$6="Excellent","Bonus Eligible","Not Eligible")</f>
        <v>Not Eligible</v>
      </c>
      <c r="G88" s="11" t="s">
        <v>324</v>
      </c>
    </row>
    <row r="89" spans="1:7" ht="28.8" x14ac:dyDescent="0.3">
      <c r="A89" s="11" t="s">
        <v>321</v>
      </c>
      <c r="B89" s="11">
        <v>5</v>
      </c>
      <c r="C89" s="13" t="s">
        <v>4</v>
      </c>
      <c r="D89" s="11" t="s">
        <v>331</v>
      </c>
      <c r="E89" s="11" t="s">
        <v>332</v>
      </c>
      <c r="F89" s="11" t="str">
        <f>IF($E$6&gt;=60000,"Senior Grade","Junior Grade")</f>
        <v>Senior Grade</v>
      </c>
      <c r="G89" s="11" t="s">
        <v>324</v>
      </c>
    </row>
    <row r="90" spans="1:7" ht="28.8" x14ac:dyDescent="0.3">
      <c r="A90" s="11" t="s">
        <v>321</v>
      </c>
      <c r="B90" s="11">
        <v>6</v>
      </c>
      <c r="C90" s="13" t="s">
        <v>4</v>
      </c>
      <c r="D90" s="11" t="s">
        <v>333</v>
      </c>
      <c r="E90" s="11" t="s">
        <v>334</v>
      </c>
      <c r="F90" s="11" t="str">
        <f>IF(OR($D$6="Delhi",$D$6="Mumbai"),"City Priority","Standard")</f>
        <v>Standard</v>
      </c>
      <c r="G90" s="11" t="s">
        <v>324</v>
      </c>
    </row>
    <row r="91" spans="1:7" ht="43.2" x14ac:dyDescent="0.3">
      <c r="A91" s="11" t="s">
        <v>321</v>
      </c>
      <c r="B91" s="11">
        <v>7</v>
      </c>
      <c r="C91" s="14" t="s">
        <v>5</v>
      </c>
      <c r="D91" s="11" t="s">
        <v>335</v>
      </c>
      <c r="E91" s="11" t="s">
        <v>336</v>
      </c>
      <c r="F91" s="11" t="e">
        <f>IF(VLOOKUP("E106",$A$6:$H$55,5,FALSE)&gt;50000,"High Value","Normal")</f>
        <v>#N/A</v>
      </c>
      <c r="G91" s="11" t="s">
        <v>324</v>
      </c>
    </row>
    <row r="92" spans="1:7" ht="28.8" x14ac:dyDescent="0.3">
      <c r="A92" s="11" t="s">
        <v>321</v>
      </c>
      <c r="B92" s="11">
        <v>8</v>
      </c>
      <c r="C92" s="14" t="s">
        <v>5</v>
      </c>
      <c r="D92" s="11" t="s">
        <v>337</v>
      </c>
      <c r="E92" s="11" t="s">
        <v>338</v>
      </c>
      <c r="F92" s="11" t="str">
        <f>IF(COUNTIF($C$6:$C$55,"IT")&gt;8,"Popular","Not Popular")</f>
        <v>Not Popular</v>
      </c>
      <c r="G92" s="11" t="s">
        <v>324</v>
      </c>
    </row>
    <row r="93" spans="1:7" ht="28.8" x14ac:dyDescent="0.3">
      <c r="A93" s="11" t="s">
        <v>321</v>
      </c>
      <c r="B93" s="11">
        <v>9</v>
      </c>
      <c r="C93" s="14" t="s">
        <v>5</v>
      </c>
      <c r="D93" s="11" t="s">
        <v>339</v>
      </c>
      <c r="E93" s="11" t="s">
        <v>340</v>
      </c>
      <c r="F93" s="11" t="e">
        <f>IF(AND($F$6&gt;=7,$G$6="Excellent"),"Promotion Eligible","No Promotion")</f>
        <v>#N/A</v>
      </c>
      <c r="G93" s="11" t="s">
        <v>324</v>
      </c>
    </row>
    <row r="94" spans="1:7" ht="28.8" x14ac:dyDescent="0.3">
      <c r="A94" s="11" t="s">
        <v>321</v>
      </c>
      <c r="B94" s="11">
        <v>10</v>
      </c>
      <c r="C94" s="15" t="s">
        <v>6</v>
      </c>
      <c r="D94" s="11" t="s">
        <v>341</v>
      </c>
      <c r="E94" s="11" t="s">
        <v>342</v>
      </c>
      <c r="F94" s="11" t="str">
        <f>IF(AND($E$6&gt;60000,$H$6&gt;50000,$G$6="Excellent"),"Top Performer","Standard")</f>
        <v>Standard</v>
      </c>
      <c r="G94" s="11" t="s">
        <v>324</v>
      </c>
    </row>
    <row r="95" spans="1:7" ht="28.8" x14ac:dyDescent="0.3">
      <c r="A95" s="11" t="s">
        <v>510</v>
      </c>
      <c r="B95" s="11">
        <v>1</v>
      </c>
      <c r="C95" s="12" t="s">
        <v>3</v>
      </c>
      <c r="D95" s="11" t="s">
        <v>344</v>
      </c>
      <c r="E95" s="11" t="s">
        <v>345</v>
      </c>
      <c r="F95" s="11" t="str">
        <f>IF($E$6&gt;=70000,"A",IF($E$6&gt;=50000,"B",IF($E$6&gt;=35000,"C","D")))</f>
        <v>A</v>
      </c>
      <c r="G95" s="11" t="s">
        <v>346</v>
      </c>
    </row>
    <row r="96" spans="1:7" ht="28.8" x14ac:dyDescent="0.3">
      <c r="A96" s="11" t="s">
        <v>510</v>
      </c>
      <c r="B96" s="11">
        <v>2</v>
      </c>
      <c r="C96" s="12" t="s">
        <v>3</v>
      </c>
      <c r="D96" s="11" t="s">
        <v>347</v>
      </c>
      <c r="E96" s="11" t="s">
        <v>348</v>
      </c>
      <c r="F96" s="11" t="str">
        <f>IF($G$6="Excellent","Top",IF($G$6="Good","Good","Needs Improvement"))</f>
        <v>Needs Improvement</v>
      </c>
      <c r="G96" s="11" t="s">
        <v>346</v>
      </c>
    </row>
    <row r="97" spans="1:7" ht="28.8" x14ac:dyDescent="0.3">
      <c r="A97" s="11" t="s">
        <v>510</v>
      </c>
      <c r="B97" s="11">
        <v>3</v>
      </c>
      <c r="C97" s="12" t="s">
        <v>3</v>
      </c>
      <c r="D97" s="11" t="s">
        <v>349</v>
      </c>
      <c r="E97" s="11" t="s">
        <v>350</v>
      </c>
      <c r="F97" s="11" t="e">
        <f>IF($F$6&lt;3,"Level 1",IF($F$6&lt;=6,"Level 2","Level 3"))</f>
        <v>#N/A</v>
      </c>
      <c r="G97" s="11" t="s">
        <v>346</v>
      </c>
    </row>
    <row r="98" spans="1:7" ht="28.8" x14ac:dyDescent="0.3">
      <c r="A98" s="11" t="s">
        <v>510</v>
      </c>
      <c r="B98" s="11">
        <v>4</v>
      </c>
      <c r="C98" s="13" t="s">
        <v>4</v>
      </c>
      <c r="D98" s="11" t="s">
        <v>351</v>
      </c>
      <c r="E98" s="11" t="s">
        <v>352</v>
      </c>
      <c r="F98" s="11" t="str">
        <f>IF($E$6&gt;=90000,"A+",IF($E$6&gt;=80000,"A",IF($E$6&gt;=70000,"B",IF($E$6&gt;=60000,"C","D"))))</f>
        <v>A+</v>
      </c>
      <c r="G98" s="11" t="s">
        <v>346</v>
      </c>
    </row>
    <row r="99" spans="1:7" ht="28.8" x14ac:dyDescent="0.3">
      <c r="A99" s="11" t="s">
        <v>510</v>
      </c>
      <c r="B99" s="11">
        <v>5</v>
      </c>
      <c r="C99" s="13" t="s">
        <v>4</v>
      </c>
      <c r="D99" s="11" t="s">
        <v>353</v>
      </c>
      <c r="E99" s="11" t="s">
        <v>354</v>
      </c>
      <c r="F99" s="11" t="str">
        <f>IF($E$6&gt;=80000,"Gold",IF($E$6&gt;=60000,"Silver",IF($E$6&gt;=40000,"Bronze","None")))</f>
        <v>Gold</v>
      </c>
      <c r="G99" s="11" t="s">
        <v>346</v>
      </c>
    </row>
    <row r="100" spans="1:7" ht="28.8" x14ac:dyDescent="0.3">
      <c r="A100" s="11" t="s">
        <v>510</v>
      </c>
      <c r="B100" s="11">
        <v>6</v>
      </c>
      <c r="C100" s="13" t="s">
        <v>4</v>
      </c>
      <c r="D100" s="11" t="s">
        <v>355</v>
      </c>
      <c r="E100" s="11" t="s">
        <v>356</v>
      </c>
      <c r="F100" s="11" t="e">
        <f>IF($F$6&lt;=2,"Junior",IF($F$6&lt;=6,"Mid","Senior"))</f>
        <v>#N/A</v>
      </c>
      <c r="G100" s="11" t="s">
        <v>346</v>
      </c>
    </row>
    <row r="101" spans="1:7" ht="28.8" x14ac:dyDescent="0.3">
      <c r="A101" s="11" t="s">
        <v>510</v>
      </c>
      <c r="B101" s="11">
        <v>7</v>
      </c>
      <c r="C101" s="14" t="s">
        <v>5</v>
      </c>
      <c r="D101" s="11" t="s">
        <v>357</v>
      </c>
      <c r="E101" s="11" t="s">
        <v>358</v>
      </c>
      <c r="F101" s="11" t="e">
        <f>IF(VLOOKUP("E103",$A$6:$H$55,5,FALSE)&gt;=70000,"A",IF(VLOOKUP("E103",$A$6:$H$55,5,FALSE)&gt;=50000,"B",IF(VLOOKUP("E103",$A$6:$H$55,5,FALSE)&gt;=35000,"C","D")))</f>
        <v>#N/A</v>
      </c>
      <c r="G101" s="11" t="s">
        <v>346</v>
      </c>
    </row>
    <row r="102" spans="1:7" ht="28.8" x14ac:dyDescent="0.3">
      <c r="A102" s="11" t="s">
        <v>510</v>
      </c>
      <c r="B102" s="11">
        <v>8</v>
      </c>
      <c r="C102" s="14" t="s">
        <v>5</v>
      </c>
      <c r="D102" s="11" t="s">
        <v>359</v>
      </c>
      <c r="E102" s="11" t="s">
        <v>360</v>
      </c>
      <c r="F102" s="11" t="str">
        <f>IF(AND($E$6&gt;=60000,$G$6="Excellent"),"Outstanding",IF($G$6="Good","Satisfactory","Needs Review"))</f>
        <v>Needs Review</v>
      </c>
      <c r="G102" s="11" t="s">
        <v>346</v>
      </c>
    </row>
    <row r="103" spans="1:7" ht="28.8" x14ac:dyDescent="0.3">
      <c r="A103" s="11" t="s">
        <v>510</v>
      </c>
      <c r="B103" s="11">
        <v>9</v>
      </c>
      <c r="C103" s="14" t="s">
        <v>5</v>
      </c>
      <c r="D103" s="11" t="s">
        <v>361</v>
      </c>
      <c r="E103" s="11" t="s">
        <v>362</v>
      </c>
      <c r="F103" s="11" t="str">
        <f>IF($H$6&gt;=60000,"High","IF")</f>
        <v>IF</v>
      </c>
      <c r="G103" s="11" t="s">
        <v>346</v>
      </c>
    </row>
    <row r="104" spans="1:7" ht="28.8" x14ac:dyDescent="0.3">
      <c r="A104" s="11" t="s">
        <v>510</v>
      </c>
      <c r="B104" s="11">
        <v>10</v>
      </c>
      <c r="C104" s="15" t="s">
        <v>6</v>
      </c>
      <c r="D104" s="11" t="s">
        <v>363</v>
      </c>
      <c r="E104" s="11" t="s">
        <v>364</v>
      </c>
      <c r="F104" s="11" t="e">
        <f>IF(AND($E$6&gt;=50000,$F$6&gt;=5,$G$6="Excellent"),"Promotion Ready",IF($G$6="Good","Keep in Pool","Monitor"))</f>
        <v>#N/A</v>
      </c>
      <c r="G104" s="11" t="s">
        <v>346</v>
      </c>
    </row>
    <row r="105" spans="1:7" ht="28.8" x14ac:dyDescent="0.3">
      <c r="A105" s="11" t="s">
        <v>511</v>
      </c>
      <c r="B105" s="11">
        <v>1</v>
      </c>
      <c r="C105" s="12" t="s">
        <v>3</v>
      </c>
      <c r="D105" s="11" t="s">
        <v>382</v>
      </c>
      <c r="E105" s="11" t="s">
        <v>383</v>
      </c>
      <c r="F105" s="11" t="str">
        <f>PROPER(A6)</f>
        <v>Vlookup_False</v>
      </c>
      <c r="G105" s="11" t="s">
        <v>384</v>
      </c>
    </row>
    <row r="106" spans="1:7" ht="28.8" x14ac:dyDescent="0.3">
      <c r="A106" s="11" t="s">
        <v>511</v>
      </c>
      <c r="B106" s="11">
        <v>2</v>
      </c>
      <c r="C106" s="12" t="s">
        <v>3</v>
      </c>
      <c r="D106" s="11" t="s">
        <v>385</v>
      </c>
      <c r="E106" s="11" t="s">
        <v>386</v>
      </c>
      <c r="F106" s="11" t="str">
        <f>UPPER(A6)</f>
        <v>VLOOKUP_FALSE</v>
      </c>
      <c r="G106" s="11" t="s">
        <v>384</v>
      </c>
    </row>
    <row r="107" spans="1:7" ht="28.8" x14ac:dyDescent="0.3">
      <c r="A107" s="11" t="s">
        <v>511</v>
      </c>
      <c r="B107" s="11">
        <v>3</v>
      </c>
      <c r="C107" s="12" t="s">
        <v>3</v>
      </c>
      <c r="D107" s="11" t="s">
        <v>387</v>
      </c>
      <c r="E107" s="11" t="s">
        <v>388</v>
      </c>
      <c r="F107" s="11" t="str">
        <f>LOWER(A6)</f>
        <v>vlookup_false</v>
      </c>
      <c r="G107" s="11" t="s">
        <v>384</v>
      </c>
    </row>
    <row r="108" spans="1:7" ht="28.8" x14ac:dyDescent="0.3">
      <c r="A108" s="11" t="s">
        <v>511</v>
      </c>
      <c r="B108" s="11">
        <v>4</v>
      </c>
      <c r="C108" s="13" t="s">
        <v>4</v>
      </c>
      <c r="D108" s="11" t="s">
        <v>389</v>
      </c>
      <c r="E108" s="11" t="s">
        <v>390</v>
      </c>
      <c r="F108" s="11" t="str">
        <f>TRIM(A6)</f>
        <v>VLOOKUP_FALSE</v>
      </c>
      <c r="G108" s="11" t="s">
        <v>384</v>
      </c>
    </row>
    <row r="109" spans="1:7" ht="28.8" x14ac:dyDescent="0.3">
      <c r="A109" s="11" t="s">
        <v>511</v>
      </c>
      <c r="B109" s="11">
        <v>5</v>
      </c>
      <c r="C109" s="13" t="s">
        <v>4</v>
      </c>
      <c r="D109" s="11" t="s">
        <v>391</v>
      </c>
      <c r="E109" s="11" t="s">
        <v>392</v>
      </c>
      <c r="F109" s="11" t="b">
        <f>COUNTIF($A$6:$A$55,A6)&gt;1</f>
        <v>1</v>
      </c>
      <c r="G109" s="11" t="s">
        <v>384</v>
      </c>
    </row>
    <row r="110" spans="1:7" ht="28.8" x14ac:dyDescent="0.3">
      <c r="A110" s="11" t="s">
        <v>511</v>
      </c>
      <c r="B110" s="11">
        <v>6</v>
      </c>
      <c r="C110" s="13" t="s">
        <v>4</v>
      </c>
      <c r="D110" s="11" t="s">
        <v>393</v>
      </c>
      <c r="E110" s="11" t="s">
        <v>394</v>
      </c>
      <c r="F110" s="11">
        <f>COUNTBLANK(A6:A55)</f>
        <v>0</v>
      </c>
      <c r="G110" s="11" t="s">
        <v>384</v>
      </c>
    </row>
    <row r="111" spans="1:7" ht="28.8" x14ac:dyDescent="0.3">
      <c r="A111" s="11" t="s">
        <v>511</v>
      </c>
      <c r="B111" s="11">
        <v>7</v>
      </c>
      <c r="C111" s="14" t="s">
        <v>5</v>
      </c>
      <c r="D111" s="11" t="s">
        <v>395</v>
      </c>
      <c r="E111" s="11" t="s">
        <v>396</v>
      </c>
      <c r="F111" s="11" t="str">
        <f>PROPER(TRIM(A6))</f>
        <v>Vlookup_False</v>
      </c>
      <c r="G111" s="11" t="s">
        <v>384</v>
      </c>
    </row>
    <row r="112" spans="1:7" ht="28.8" x14ac:dyDescent="0.3">
      <c r="A112" s="11" t="s">
        <v>511</v>
      </c>
      <c r="B112" s="11">
        <v>8</v>
      </c>
      <c r="C112" s="14" t="s">
        <v>5</v>
      </c>
      <c r="D112" s="11" t="s">
        <v>397</v>
      </c>
      <c r="E112" s="11" t="s">
        <v>398</v>
      </c>
      <c r="F112" s="11">
        <f ca="1">COUNTA(_xludf.UNIQUE(A6:A55))</f>
        <v>1</v>
      </c>
      <c r="G112" s="11" t="s">
        <v>384</v>
      </c>
    </row>
    <row r="113" spans="1:7" ht="28.8" x14ac:dyDescent="0.3">
      <c r="A113" s="11" t="s">
        <v>511</v>
      </c>
      <c r="B113" s="11">
        <v>9</v>
      </c>
      <c r="C113" s="14" t="s">
        <v>5</v>
      </c>
      <c r="D113" s="11" t="s">
        <v>399</v>
      </c>
      <c r="E113" s="11" t="s">
        <v>400</v>
      </c>
      <c r="F113" s="11" t="str">
        <f>TRIM(PROPER(A6))</f>
        <v>Vlookup_False</v>
      </c>
      <c r="G113" s="11" t="s">
        <v>384</v>
      </c>
    </row>
    <row r="114" spans="1:7" ht="43.2" x14ac:dyDescent="0.3">
      <c r="A114" s="11" t="s">
        <v>511</v>
      </c>
      <c r="B114" s="11">
        <v>10</v>
      </c>
      <c r="C114" s="15" t="s">
        <v>6</v>
      </c>
      <c r="D114" s="11" t="s">
        <v>401</v>
      </c>
      <c r="E114" s="11" t="s">
        <v>402</v>
      </c>
      <c r="F114" s="11" t="e">
        <f ca="1">_xludf.UNIQUE(TRIM(PROPER(A6:A55)))</f>
        <v>#NAME?</v>
      </c>
      <c r="G114" s="11" t="s">
        <v>384</v>
      </c>
    </row>
    <row r="115" spans="1:7" ht="28.8" x14ac:dyDescent="0.3">
      <c r="A115" s="11" t="s">
        <v>512</v>
      </c>
      <c r="B115" s="11">
        <v>1</v>
      </c>
      <c r="C115" s="12" t="s">
        <v>3</v>
      </c>
      <c r="D115" s="11" t="s">
        <v>422</v>
      </c>
      <c r="E115" s="11" t="s">
        <v>423</v>
      </c>
      <c r="F115" s="11">
        <f>SUMIF($B$6:$B$105,"North",$F$6:$F$105)</f>
        <v>0</v>
      </c>
      <c r="G115" s="11" t="s">
        <v>424</v>
      </c>
    </row>
    <row r="116" spans="1:7" ht="28.8" x14ac:dyDescent="0.3">
      <c r="A116" s="11" t="s">
        <v>512</v>
      </c>
      <c r="B116" s="11">
        <v>2</v>
      </c>
      <c r="C116" s="12" t="s">
        <v>3</v>
      </c>
      <c r="D116" s="11" t="s">
        <v>425</v>
      </c>
      <c r="E116" s="11" t="s">
        <v>426</v>
      </c>
      <c r="F116" s="11">
        <f>SUMIF($C$6:$C$105,"Laptop",$F$6:$F$105)</f>
        <v>0</v>
      </c>
      <c r="G116" s="11" t="s">
        <v>424</v>
      </c>
    </row>
    <row r="117" spans="1:7" ht="28.8" x14ac:dyDescent="0.3">
      <c r="A117" s="11" t="s">
        <v>512</v>
      </c>
      <c r="B117" s="11">
        <v>3</v>
      </c>
      <c r="C117" s="12" t="s">
        <v>3</v>
      </c>
      <c r="D117" s="11" t="s">
        <v>427</v>
      </c>
      <c r="E117" s="11" t="s">
        <v>428</v>
      </c>
      <c r="F117" s="11">
        <f>SUMIFS($F$6:$F$105,$A$6:$A$105,"&gt;="&amp;DATE(2025,1,1),$A$6:$A$105,"&lt;="&amp;DATE(2025,12,31))</f>
        <v>0</v>
      </c>
      <c r="G117" s="11" t="s">
        <v>424</v>
      </c>
    </row>
    <row r="118" spans="1:7" ht="28.8" x14ac:dyDescent="0.3">
      <c r="A118" s="11" t="s">
        <v>512</v>
      </c>
      <c r="B118" s="11">
        <v>4</v>
      </c>
      <c r="C118" s="13" t="s">
        <v>4</v>
      </c>
      <c r="D118" s="11" t="s">
        <v>429</v>
      </c>
      <c r="E118" s="11" t="s">
        <v>430</v>
      </c>
      <c r="F118" s="11" t="e">
        <f>AVERAGEIF($B$6:$B$105,"North",$F$6:$F$105)</f>
        <v>#DIV/0!</v>
      </c>
      <c r="G118" s="11" t="s">
        <v>424</v>
      </c>
    </row>
    <row r="119" spans="1:7" ht="28.8" x14ac:dyDescent="0.3">
      <c r="A119" s="11" t="s">
        <v>512</v>
      </c>
      <c r="B119" s="11">
        <v>5</v>
      </c>
      <c r="C119" s="13" t="s">
        <v>4</v>
      </c>
      <c r="D119" s="11" t="s">
        <v>431</v>
      </c>
      <c r="E119" s="11" t="s">
        <v>432</v>
      </c>
      <c r="F119" s="11">
        <f>SUMIF($C$6:$C$105,"Laptop",$E$6:$E$105)</f>
        <v>0</v>
      </c>
      <c r="G119" s="11" t="s">
        <v>424</v>
      </c>
    </row>
    <row r="120" spans="1:7" ht="28.8" x14ac:dyDescent="0.3">
      <c r="A120" s="11" t="s">
        <v>512</v>
      </c>
      <c r="B120" s="11">
        <v>6</v>
      </c>
      <c r="C120" s="13" t="s">
        <v>4</v>
      </c>
      <c r="D120" s="11" t="s">
        <v>433</v>
      </c>
      <c r="E120" s="11" t="s">
        <v>434</v>
      </c>
      <c r="F120" s="11">
        <f>COUNTIF($D$6:$D$105,"*"&amp;A6&amp;"*")</f>
        <v>0</v>
      </c>
      <c r="G120" s="11" t="s">
        <v>424</v>
      </c>
    </row>
    <row r="121" spans="1:7" ht="28.8" x14ac:dyDescent="0.3">
      <c r="A121" s="11" t="s">
        <v>512</v>
      </c>
      <c r="B121" s="11">
        <v>7</v>
      </c>
      <c r="C121" s="14" t="s">
        <v>5</v>
      </c>
      <c r="D121" s="11" t="s">
        <v>435</v>
      </c>
      <c r="E121" s="11" t="s">
        <v>436</v>
      </c>
      <c r="F121" s="11" t="e">
        <f>MAX($F$6:$F$105)</f>
        <v>#N/A</v>
      </c>
      <c r="G121" s="11" t="s">
        <v>424</v>
      </c>
    </row>
    <row r="122" spans="1:7" ht="28.8" x14ac:dyDescent="0.3">
      <c r="A122" s="11" t="s">
        <v>512</v>
      </c>
      <c r="B122" s="11">
        <v>8</v>
      </c>
      <c r="C122" s="14" t="s">
        <v>5</v>
      </c>
      <c r="D122" s="11" t="s">
        <v>437</v>
      </c>
      <c r="E122" s="11" t="s">
        <v>438</v>
      </c>
      <c r="F122" s="11" t="e">
        <f>INDEX($B$6:$B$105,MATCH(MAX($F$6:$F$105),$F$6:$F$105,0))</f>
        <v>#N/A</v>
      </c>
      <c r="G122" s="11" t="s">
        <v>424</v>
      </c>
    </row>
    <row r="123" spans="1:7" ht="28.8" x14ac:dyDescent="0.3">
      <c r="A123" s="11" t="s">
        <v>512</v>
      </c>
      <c r="B123" s="11">
        <v>9</v>
      </c>
      <c r="C123" s="14" t="s">
        <v>5</v>
      </c>
      <c r="D123" s="11" t="s">
        <v>439</v>
      </c>
      <c r="E123" s="11" t="s">
        <v>440</v>
      </c>
      <c r="F123" s="11">
        <f>SUMIFS($F$6:$F$105,$A$6:$A$105,"&gt;="&amp;DATE(2025,1,1),$A$6:$A$105,"&lt;="&amp;DATE(2025,12,31),$B$6:$B$105,"North")</f>
        <v>0</v>
      </c>
      <c r="G123" s="11" t="s">
        <v>424</v>
      </c>
    </row>
    <row r="124" spans="1:7" ht="43.2" x14ac:dyDescent="0.3">
      <c r="A124" s="11" t="s">
        <v>512</v>
      </c>
      <c r="B124" s="11">
        <v>10</v>
      </c>
      <c r="C124" s="15" t="s">
        <v>6</v>
      </c>
      <c r="D124" s="11" t="s">
        <v>441</v>
      </c>
      <c r="E124" s="11" t="s">
        <v>442</v>
      </c>
      <c r="F124" s="11" t="e">
        <f>INDEX($B$6:$B$105,MATCH(MAX($F$6:$F$105),$F$6:$F$105,0))</f>
        <v>#N/A</v>
      </c>
      <c r="G124" s="11" t="s">
        <v>424</v>
      </c>
    </row>
    <row r="125" spans="1:7" ht="28.8" x14ac:dyDescent="0.3">
      <c r="A125" s="11" t="s">
        <v>513</v>
      </c>
      <c r="B125" s="11">
        <v>1</v>
      </c>
      <c r="C125" s="12" t="s">
        <v>3</v>
      </c>
      <c r="D125" s="11" t="s">
        <v>444</v>
      </c>
      <c r="E125" s="11" t="s">
        <v>445</v>
      </c>
      <c r="F125" s="11" t="e">
        <f>F6</f>
        <v>#N/A</v>
      </c>
      <c r="G125" s="11" t="s">
        <v>446</v>
      </c>
    </row>
    <row r="126" spans="1:7" ht="28.8" x14ac:dyDescent="0.3">
      <c r="A126" s="11" t="s">
        <v>513</v>
      </c>
      <c r="B126" s="11">
        <v>2</v>
      </c>
      <c r="C126" s="12" t="s">
        <v>3</v>
      </c>
      <c r="D126" s="11" t="s">
        <v>447</v>
      </c>
      <c r="E126" s="11" t="s">
        <v>448</v>
      </c>
      <c r="F126" s="11" t="e">
        <f>F7</f>
        <v>#N/A</v>
      </c>
      <c r="G126" s="11" t="s">
        <v>446</v>
      </c>
    </row>
    <row r="127" spans="1:7" ht="28.8" x14ac:dyDescent="0.3">
      <c r="A127" s="11" t="s">
        <v>513</v>
      </c>
      <c r="B127" s="11">
        <v>3</v>
      </c>
      <c r="C127" s="12" t="s">
        <v>3</v>
      </c>
      <c r="D127" s="11" t="s">
        <v>449</v>
      </c>
      <c r="E127" s="11" t="s">
        <v>450</v>
      </c>
      <c r="F127" s="11" t="e">
        <f>F8</f>
        <v>#N/A</v>
      </c>
      <c r="G127" s="11" t="s">
        <v>446</v>
      </c>
    </row>
    <row r="128" spans="1:7" ht="28.8" x14ac:dyDescent="0.3">
      <c r="A128" s="11" t="s">
        <v>513</v>
      </c>
      <c r="B128" s="11">
        <v>4</v>
      </c>
      <c r="C128" s="13" t="s">
        <v>4</v>
      </c>
      <c r="D128" s="11" t="s">
        <v>451</v>
      </c>
      <c r="E128" s="11" t="s">
        <v>452</v>
      </c>
      <c r="F128" s="11" t="e">
        <f>IF(AVERAGE($F$6:$F$105)&gt;0,"Column/Bar","Line")</f>
        <v>#N/A</v>
      </c>
      <c r="G128" s="11" t="s">
        <v>446</v>
      </c>
    </row>
    <row r="129" spans="1:7" ht="28.8" x14ac:dyDescent="0.3">
      <c r="A129" s="11" t="s">
        <v>513</v>
      </c>
      <c r="B129" s="11">
        <v>5</v>
      </c>
      <c r="C129" s="13" t="s">
        <v>4</v>
      </c>
      <c r="D129" s="11" t="s">
        <v>453</v>
      </c>
      <c r="E129" s="11" t="s">
        <v>450</v>
      </c>
      <c r="F129" s="11" t="str">
        <f>IF(COUNTIF($A$6:$A$105,"&gt;0")&gt;0,"Line","Column")</f>
        <v>Column</v>
      </c>
      <c r="G129" s="11" t="s">
        <v>446</v>
      </c>
    </row>
    <row r="130" spans="1:7" ht="28.8" x14ac:dyDescent="0.3">
      <c r="A130" s="11" t="s">
        <v>513</v>
      </c>
      <c r="B130" s="11">
        <v>6</v>
      </c>
      <c r="C130" s="13" t="s">
        <v>4</v>
      </c>
      <c r="D130" s="11" t="s">
        <v>454</v>
      </c>
      <c r="E130" s="11" t="s">
        <v>455</v>
      </c>
      <c r="F130" s="11" t="e">
        <f>PivotChart</f>
        <v>#NAME?</v>
      </c>
      <c r="G130" s="11" t="s">
        <v>446</v>
      </c>
    </row>
    <row r="131" spans="1:7" ht="28.8" x14ac:dyDescent="0.3">
      <c r="A131" s="11" t="s">
        <v>513</v>
      </c>
      <c r="B131" s="11">
        <v>7</v>
      </c>
      <c r="C131" s="14" t="s">
        <v>5</v>
      </c>
      <c r="D131" s="11" t="s">
        <v>456</v>
      </c>
      <c r="E131" s="11" t="s">
        <v>457</v>
      </c>
      <c r="F131" s="11" t="e">
        <f>PivotChart after filter change</f>
        <v>#NAME?</v>
      </c>
      <c r="G131" s="11" t="s">
        <v>446</v>
      </c>
    </row>
    <row r="132" spans="1:7" ht="28.8" x14ac:dyDescent="0.3">
      <c r="A132" s="11" t="s">
        <v>513</v>
      </c>
      <c r="B132" s="11">
        <v>8</v>
      </c>
      <c r="C132" s="14" t="s">
        <v>5</v>
      </c>
      <c r="D132" s="11" t="s">
        <v>458</v>
      </c>
      <c r="E132" s="11" t="s">
        <v>459</v>
      </c>
      <c r="F132" s="11" t="e">
        <f>PivotChart comparison by product</f>
        <v>#NAME?</v>
      </c>
      <c r="G132" s="11" t="s">
        <v>446</v>
      </c>
    </row>
    <row r="133" spans="1:7" ht="28.8" x14ac:dyDescent="0.3">
      <c r="A133" s="11" t="s">
        <v>513</v>
      </c>
      <c r="B133" s="11">
        <v>9</v>
      </c>
      <c r="C133" s="14" t="s">
        <v>5</v>
      </c>
      <c r="D133" s="11" t="s">
        <v>460</v>
      </c>
      <c r="E133" s="11" t="s">
        <v>461</v>
      </c>
      <c r="F133" s="11" t="e">
        <f>PivotChart with highest region highlight</f>
        <v>#NAME?</v>
      </c>
      <c r="G133" s="11" t="s">
        <v>446</v>
      </c>
    </row>
    <row r="134" spans="1:7" ht="43.2" x14ac:dyDescent="0.3">
      <c r="A134" s="11" t="s">
        <v>513</v>
      </c>
      <c r="B134" s="11">
        <v>10</v>
      </c>
      <c r="C134" s="15" t="s">
        <v>6</v>
      </c>
      <c r="D134" s="11" t="s">
        <v>462</v>
      </c>
      <c r="E134" s="11" t="s">
        <v>463</v>
      </c>
      <c r="F134" s="11" t="e">
        <f>Executive chart set</f>
        <v>#NAME?</v>
      </c>
      <c r="G134" s="11" t="s">
        <v>446</v>
      </c>
    </row>
    <row r="135" spans="1:7" ht="28.8" x14ac:dyDescent="0.3">
      <c r="A135" s="11" t="s">
        <v>464</v>
      </c>
      <c r="B135" s="11">
        <v>1</v>
      </c>
      <c r="C135" s="12" t="s">
        <v>3</v>
      </c>
      <c r="D135" s="11" t="s">
        <v>465</v>
      </c>
      <c r="E135" s="11" t="s">
        <v>466</v>
      </c>
      <c r="F135" s="11"/>
      <c r="G135" s="11" t="s">
        <v>467</v>
      </c>
    </row>
    <row r="136" spans="1:7" ht="28.8" x14ac:dyDescent="0.3">
      <c r="A136" s="11" t="s">
        <v>464</v>
      </c>
      <c r="B136" s="11">
        <v>2</v>
      </c>
      <c r="C136" s="12" t="s">
        <v>3</v>
      </c>
      <c r="D136" s="11" t="s">
        <v>468</v>
      </c>
      <c r="E136" s="11" t="s">
        <v>469</v>
      </c>
      <c r="F136" s="11"/>
      <c r="G136" s="11" t="s">
        <v>467</v>
      </c>
    </row>
    <row r="137" spans="1:7" ht="28.8" x14ac:dyDescent="0.3">
      <c r="A137" s="11" t="s">
        <v>464</v>
      </c>
      <c r="B137" s="11">
        <v>3</v>
      </c>
      <c r="C137" s="12" t="s">
        <v>3</v>
      </c>
      <c r="D137" s="11" t="s">
        <v>470</v>
      </c>
      <c r="E137" s="11" t="s">
        <v>471</v>
      </c>
      <c r="F137" s="11" t="e">
        <f>Pivot filter North</f>
        <v>#NAME?</v>
      </c>
      <c r="G137" s="11" t="s">
        <v>467</v>
      </c>
    </row>
    <row r="138" spans="1:7" ht="28.8" x14ac:dyDescent="0.3">
      <c r="A138" s="11" t="s">
        <v>464</v>
      </c>
      <c r="B138" s="11">
        <v>4</v>
      </c>
      <c r="C138" s="13" t="s">
        <v>4</v>
      </c>
      <c r="D138" s="11" t="s">
        <v>472</v>
      </c>
      <c r="E138" s="11" t="s">
        <v>473</v>
      </c>
      <c r="F138" s="11" t="e">
        <f>Report Connections</f>
        <v>#NAME?</v>
      </c>
      <c r="G138" s="11" t="s">
        <v>467</v>
      </c>
    </row>
    <row r="139" spans="1:7" ht="28.8" x14ac:dyDescent="0.3">
      <c r="A139" s="11" t="s">
        <v>464</v>
      </c>
      <c r="B139" s="11">
        <v>5</v>
      </c>
      <c r="C139" s="13" t="s">
        <v>4</v>
      </c>
      <c r="D139" s="11" t="s">
        <v>474</v>
      </c>
      <c r="E139" s="11" t="s">
        <v>475</v>
      </c>
      <c r="F139" s="11" t="e">
        <f>Multiple slicers</f>
        <v>#NAME?</v>
      </c>
      <c r="G139" s="11" t="s">
        <v>467</v>
      </c>
    </row>
    <row r="140" spans="1:7" ht="28.8" x14ac:dyDescent="0.3">
      <c r="A140" s="11" t="s">
        <v>464</v>
      </c>
      <c r="B140" s="11">
        <v>6</v>
      </c>
      <c r="C140" s="13" t="s">
        <v>4</v>
      </c>
      <c r="D140" s="11" t="s">
        <v>476</v>
      </c>
      <c r="E140" s="11" t="s">
        <v>477</v>
      </c>
      <c r="F140" s="11" t="e">
        <f>region + product filter</f>
        <v>#NAME?</v>
      </c>
      <c r="G140" s="11" t="s">
        <v>467</v>
      </c>
    </row>
    <row r="141" spans="1:7" ht="28.8" x14ac:dyDescent="0.3">
      <c r="A141" s="11" t="s">
        <v>464</v>
      </c>
      <c r="B141" s="11">
        <v>7</v>
      </c>
      <c r="C141" s="14" t="s">
        <v>5</v>
      </c>
      <c r="D141" s="11" t="s">
        <v>478</v>
      </c>
      <c r="E141" s="11" t="s">
        <v>479</v>
      </c>
      <c r="F141" s="11" t="e">
        <f>Connected interactive Report</f>
        <v>#NAME?</v>
      </c>
      <c r="G141" s="11" t="s">
        <v>467</v>
      </c>
    </row>
    <row r="142" spans="1:7" ht="28.8" x14ac:dyDescent="0.3">
      <c r="A142" s="11" t="s">
        <v>464</v>
      </c>
      <c r="B142" s="11">
        <v>8</v>
      </c>
      <c r="C142" s="14" t="s">
        <v>5</v>
      </c>
      <c r="D142" s="11" t="s">
        <v>480</v>
      </c>
      <c r="E142" s="11" t="s">
        <v>481</v>
      </c>
      <c r="F142" s="11" t="e">
        <f>Month Slicer</f>
        <v>#NAME?</v>
      </c>
      <c r="G142" s="11" t="s">
        <v>467</v>
      </c>
    </row>
    <row r="143" spans="1:7" ht="28.8" x14ac:dyDescent="0.3">
      <c r="A143" s="11" t="s">
        <v>464</v>
      </c>
      <c r="B143" s="11">
        <v>9</v>
      </c>
      <c r="C143" s="14" t="s">
        <v>5</v>
      </c>
      <c r="D143" s="11" t="s">
        <v>482</v>
      </c>
      <c r="E143" s="11" t="s">
        <v>483</v>
      </c>
      <c r="F143" s="11" t="e">
        <f>Slicer usability demo</f>
        <v>#NAME?</v>
      </c>
      <c r="G143" s="11" t="s">
        <v>467</v>
      </c>
    </row>
    <row r="144" spans="1:7" ht="28.8" x14ac:dyDescent="0.3">
      <c r="A144" s="11" t="s">
        <v>464</v>
      </c>
      <c r="B144" s="11">
        <v>10</v>
      </c>
      <c r="C144" s="15" t="s">
        <v>6</v>
      </c>
      <c r="D144" s="11" t="s">
        <v>484</v>
      </c>
      <c r="E144" s="11" t="s">
        <v>485</v>
      </c>
      <c r="F144" s="11" t="e">
        <f>region, product, Month slicers</f>
        <v>#NAME?</v>
      </c>
      <c r="G144" s="11" t="s">
        <v>467</v>
      </c>
    </row>
    <row r="145" spans="1:7" ht="28.8" x14ac:dyDescent="0.3">
      <c r="A145" s="11" t="s">
        <v>514</v>
      </c>
      <c r="B145" s="11">
        <v>1</v>
      </c>
      <c r="C145" s="12" t="s">
        <v>3</v>
      </c>
      <c r="D145" s="11" t="s">
        <v>487</v>
      </c>
      <c r="E145" s="11" t="s">
        <v>488</v>
      </c>
      <c r="F145" s="11" t="e">
        <f>SUM($F$6:$F$105)</f>
        <v>#N/A</v>
      </c>
      <c r="G145" s="11" t="s">
        <v>489</v>
      </c>
    </row>
    <row r="146" spans="1:7" ht="28.8" x14ac:dyDescent="0.3">
      <c r="A146" s="11" t="s">
        <v>514</v>
      </c>
      <c r="B146" s="11">
        <v>2</v>
      </c>
      <c r="C146" s="12" t="s">
        <v>3</v>
      </c>
      <c r="D146" s="11" t="s">
        <v>490</v>
      </c>
      <c r="E146" s="11" t="s">
        <v>491</v>
      </c>
      <c r="F146" s="11" t="e">
        <f>SUM($E$6:$E$105)</f>
        <v>#N/A</v>
      </c>
      <c r="G146" s="11" t="s">
        <v>489</v>
      </c>
    </row>
    <row r="147" spans="1:7" ht="28.8" x14ac:dyDescent="0.3">
      <c r="A147" s="11" t="s">
        <v>514</v>
      </c>
      <c r="B147" s="11">
        <v>3</v>
      </c>
      <c r="C147" s="12" t="s">
        <v>3</v>
      </c>
      <c r="D147" s="11" t="s">
        <v>492</v>
      </c>
      <c r="E147" s="11" t="s">
        <v>493</v>
      </c>
      <c r="F147" s="11">
        <f>COUNTA($A$6:$A$105)</f>
        <v>100</v>
      </c>
      <c r="G147" s="11" t="s">
        <v>489</v>
      </c>
    </row>
    <row r="148" spans="1:7" ht="28.8" x14ac:dyDescent="0.3">
      <c r="A148" s="11" t="s">
        <v>514</v>
      </c>
      <c r="B148" s="11">
        <v>4</v>
      </c>
      <c r="C148" s="13" t="s">
        <v>4</v>
      </c>
      <c r="D148" s="11" t="s">
        <v>465</v>
      </c>
      <c r="E148" s="11" t="s">
        <v>466</v>
      </c>
      <c r="F148" s="11" t="e">
        <f>region Pivot Table</f>
        <v>#NAME?</v>
      </c>
      <c r="G148" s="11" t="s">
        <v>489</v>
      </c>
    </row>
    <row r="149" spans="1:7" ht="28.8" x14ac:dyDescent="0.3">
      <c r="A149" s="11" t="s">
        <v>514</v>
      </c>
      <c r="B149" s="11">
        <v>5</v>
      </c>
      <c r="C149" s="13" t="s">
        <v>4</v>
      </c>
      <c r="D149" s="11" t="s">
        <v>468</v>
      </c>
      <c r="E149" s="11" t="s">
        <v>469</v>
      </c>
      <c r="F149" s="11" t="e">
        <f>product Pivot chart</f>
        <v>#NAME?</v>
      </c>
      <c r="G149" s="11" t="s">
        <v>489</v>
      </c>
    </row>
    <row r="150" spans="1:7" ht="28.8" x14ac:dyDescent="0.3">
      <c r="A150" s="11" t="s">
        <v>514</v>
      </c>
      <c r="B150" s="11">
        <v>6</v>
      </c>
      <c r="C150" s="13" t="s">
        <v>4</v>
      </c>
      <c r="D150" s="11" t="s">
        <v>494</v>
      </c>
      <c r="E150" s="11" t="s">
        <v>495</v>
      </c>
      <c r="F150" s="11" t="e">
        <f>Slicer on region</f>
        <v>#NAME?</v>
      </c>
      <c r="G150" s="11" t="s">
        <v>489</v>
      </c>
    </row>
    <row r="151" spans="1:7" ht="28.8" x14ac:dyDescent="0.3">
      <c r="A151" s="11" t="s">
        <v>514</v>
      </c>
      <c r="B151" s="11">
        <v>7</v>
      </c>
      <c r="C151" s="14" t="s">
        <v>5</v>
      </c>
      <c r="D151" s="11" t="s">
        <v>496</v>
      </c>
      <c r="E151" s="11" t="s">
        <v>497</v>
      </c>
      <c r="F151" s="11" t="e">
        <f>INDEX/MATCH best region</f>
        <v>#NAME?</v>
      </c>
      <c r="G151" s="11" t="s">
        <v>489</v>
      </c>
    </row>
    <row r="152" spans="1:7" ht="28.8" x14ac:dyDescent="0.3">
      <c r="A152" s="11" t="s">
        <v>514</v>
      </c>
      <c r="B152" s="11">
        <v>8</v>
      </c>
      <c r="C152" s="14" t="s">
        <v>5</v>
      </c>
      <c r="D152" s="11" t="s">
        <v>498</v>
      </c>
      <c r="E152" s="11" t="s">
        <v>499</v>
      </c>
      <c r="F152" s="11" t="e">
        <f>Integrated Pivot layout</f>
        <v>#NAME?</v>
      </c>
      <c r="G152" s="11" t="s">
        <v>489</v>
      </c>
    </row>
    <row r="153" spans="1:7" ht="28.8" x14ac:dyDescent="0.3">
      <c r="A153" s="11" t="s">
        <v>514</v>
      </c>
      <c r="B153" s="11">
        <v>9</v>
      </c>
      <c r="C153" s="14" t="s">
        <v>5</v>
      </c>
      <c r="D153" s="11" t="s">
        <v>500</v>
      </c>
      <c r="E153" s="11" t="s">
        <v>501</v>
      </c>
      <c r="F153" s="11" t="e">
        <f>Corporate formatting</f>
        <v>#NAME?</v>
      </c>
      <c r="G153" s="11" t="s">
        <v>489</v>
      </c>
    </row>
    <row r="154" spans="1:7" ht="43.2" x14ac:dyDescent="0.3">
      <c r="A154" s="11" t="s">
        <v>514</v>
      </c>
      <c r="B154" s="11">
        <v>10</v>
      </c>
      <c r="C154" s="15" t="s">
        <v>6</v>
      </c>
      <c r="D154" s="11" t="s">
        <v>502</v>
      </c>
      <c r="E154" s="11" t="s">
        <v>503</v>
      </c>
      <c r="F154" s="11" t="e">
        <f>interactive dashboard project</f>
        <v>#NAME?</v>
      </c>
      <c r="G154" s="11" t="s">
        <v>489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vt:lpstr>
      <vt:lpstr>Instructions</vt:lpstr>
      <vt:lpstr>VLOOKUP_FALSE</vt:lpstr>
      <vt:lpstr>VLOOKUP_TRUE</vt:lpstr>
      <vt:lpstr>HLOOKUP</vt:lpstr>
      <vt:lpstr>INDEX</vt:lpstr>
      <vt:lpstr>MATCH</vt:lpstr>
      <vt:lpstr>INDEX_MATCH</vt:lpstr>
      <vt:lpstr>COUNTIF</vt:lpstr>
      <vt:lpstr>SUMIF</vt:lpstr>
      <vt:lpstr>IF</vt:lpstr>
      <vt:lpstr>Nested_IF</vt:lpstr>
      <vt:lpstr>Data_Cleaning</vt:lpstr>
      <vt:lpstr>Pivot_Tables</vt:lpstr>
      <vt:lpstr>Pivot_Charts</vt:lpstr>
      <vt:lpstr>Slicers</vt:lpstr>
      <vt:lpstr>Dashboard_Project</vt:lpstr>
      <vt:lpstr>Instructor_Answer_Key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Reenu Kaswan</cp:lastModifiedBy>
  <dcterms:created xsi:type="dcterms:W3CDTF">2026-06-09T01:32:22Z</dcterms:created>
  <dcterms:modified xsi:type="dcterms:W3CDTF">2026-06-14T02:58:56Z</dcterms:modified>
</cp:coreProperties>
</file>